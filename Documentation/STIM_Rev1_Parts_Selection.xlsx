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8.xml" ContentType="application/vnd.ms-office.chartcolor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6.xml" ContentType="application/vnd.ms-office.chart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hotoMOS U4-U5" sheetId="2" state="visible" r:id="rId4"/>
    <sheet name="Op amp U1-U3" sheetId="3" state="visible" r:id="rId5"/>
    <sheet name="Quad op amp U22" sheetId="4" state="visible" r:id="rId6"/>
    <sheet name="DC-DC U32" sheetId="5" state="visible" r:id="rId7"/>
    <sheet name="Connectors" sheetId="6" state="visible" r:id="rId8"/>
    <sheet name="Indicator LED" sheetId="7" state="visible" r:id="rId9"/>
    <sheet name="Passive siz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<sst xmlns="http://schemas.openxmlformats.org/spreadsheetml/2006/main" count="539" uniqueCount="356">
  <si>
    <t xml:space="preserve">STIM Rev 1: parts selection notes</t>
  </si>
  <si>
    <t xml:space="preserve">Personal notes, 2026-10-26. One sheet per decision: summary on top, chart, then the candidate table (green row = chosen).</t>
  </si>
  <si>
    <t xml:space="preserve">Decision</t>
  </si>
  <si>
    <t xml:space="preserve">Refs</t>
  </si>
  <si>
    <t xml:space="preserve">Chosen</t>
  </si>
  <si>
    <t xml:space="preserve">Runner-up</t>
  </si>
  <si>
    <t xml:space="preserve">Why (one line)</t>
  </si>
  <si>
    <t xml:space="preserve">Sheet</t>
  </si>
  <si>
    <t xml:space="preserve">PhotoMOS output switches</t>
  </si>
  <si>
    <t xml:space="preserve">U4, U5</t>
  </si>
  <si>
    <t xml:space="preserve">AQY214SX (C719755)</t>
  </si>
  <si>
    <t xml:space="preserve">GAQY214S clone</t>
  </si>
  <si>
    <t xml:space="preserve">CPC1025N is end of life; 5x faster turn-off; re-simulated OK (D-17)</t>
  </si>
  <si>
    <t xml:space="preserve">Pump / buffer op amp</t>
  </si>
  <si>
    <t xml:space="preserve">U1, U3</t>
  </si>
  <si>
    <t xml:space="preserve">OPA192IDBVR (C139648)</t>
  </si>
  <si>
    <t xml:space="preserve">OPA171AIDBVR</t>
  </si>
  <si>
    <t xml:space="preserve">Accuracy passes without calibration; same pinout (D-21)</t>
  </si>
  <si>
    <t xml:space="preserve">Read-back quad op amp</t>
  </si>
  <si>
    <t xml:space="preserve">U22</t>
  </si>
  <si>
    <t xml:space="preserve">OPA4192IPWR (C2057935)</t>
  </si>
  <si>
    <t xml:space="preserve">OPA4192IDR (SOIC-14)</t>
  </si>
  <si>
    <t xml:space="preserve">Offset matters at x20 gain; SOIC is cheaper (open)</t>
  </si>
  <si>
    <t xml:space="preserve">Isolated +/-12 V</t>
  </si>
  <si>
    <t xml:space="preserve">U32</t>
  </si>
  <si>
    <t xml:space="preserve">A1212S-2WR3 YLPTEC (C5369434)</t>
  </si>
  <si>
    <t xml:space="preserve">A1212S-2WR3 EVISUN</t>
  </si>
  <si>
    <t xml:space="preserve">One +12 V input from the power team (D-20)</t>
  </si>
  <si>
    <t xml:space="preserve">Power / electrode connectors</t>
  </si>
  <si>
    <t xml:space="preserve">J1, J2, J4</t>
  </si>
  <si>
    <t xml:space="preserve">KF128 5.08 mm screw terminals</t>
  </si>
  <si>
    <t xml:space="preserve">Molex Micro-Fit 3.0</t>
  </si>
  <si>
    <t xml:space="preserve">Bench board: no crimping</t>
  </si>
  <si>
    <t xml:space="preserve">Indicator LEDs</t>
  </si>
  <si>
    <t xml:space="preserve">D6, D8</t>
  </si>
  <si>
    <t xml:space="preserve">NCD0805R1 (C84256)</t>
  </si>
  <si>
    <t xml:space="preserve">KT-0805R</t>
  </si>
  <si>
    <t xml:space="preserve">JLC Basic, bright, in stock (D-22)</t>
  </si>
  <si>
    <t xml:space="preserve">Passive sizes</t>
  </si>
  <si>
    <t xml:space="preserve">all R / C</t>
  </si>
  <si>
    <t xml:space="preserve">0603 default</t>
  </si>
  <si>
    <t xml:space="preserve">-</t>
  </si>
  <si>
    <t xml:space="preserve">Larger only for voltage, power, precision, rework (D-23)</t>
  </si>
  <si>
    <t xml:space="preserve">HV fuses (OPEN)</t>
  </si>
  <si>
    <t xml:space="preserve">F1, F2</t>
  </si>
  <si>
    <t xml:space="preserve">SST0500 placeholder</t>
  </si>
  <si>
    <t xml:space="preserve">Needs a fuse rated &gt;= 165 V DC before release (C2)</t>
  </si>
  <si>
    <t xml:space="preserve">Output switches U4 / U5 (PhotoMOS, Form A, 400 V)</t>
  </si>
  <si>
    <t xml:space="preserve">CHOSEN: Panasonic AQY214SX (LCSC C719755), 2 per channel.
Why: CPC1025N (the simulated baseline) is Last Time Buy. AQY214SX keeps the SOP-4 2.54 mm footprint, turns off 5x faster (0.2 vs 1 ms max) and passed every requirement when re-simulated (D-17). Clones are cheaper and better stocked but unverified.</t>
  </si>
  <si>
    <t xml:space="preserve">Part</t>
  </si>
  <si>
    <t xml:space="preserve">Maker</t>
  </si>
  <si>
    <t xml:space="preserve">Source</t>
  </si>
  <si>
    <t xml:space="preserve">Load V</t>
  </si>
  <si>
    <t xml:space="preserve">Ron max (Ohm)</t>
  </si>
  <si>
    <t xml:space="preserve">Ton max (ms)</t>
  </si>
  <si>
    <t xml:space="preserve">Toff max (ms)</t>
  </si>
  <si>
    <t xml:space="preserve">IF on max (mA)</t>
  </si>
  <si>
    <t xml:space="preserve">Stock</t>
  </si>
  <si>
    <t xml:space="preserve">Unit price (USD @10)</t>
  </si>
  <si>
    <t xml:space="preserve">Lifecycle</t>
  </si>
  <si>
    <t xml:space="preserve">Verdict</t>
  </si>
  <si>
    <t xml:space="preserve">AQY214SX</t>
  </si>
  <si>
    <t xml:space="preserve">Panasonic</t>
  </si>
  <si>
    <t xml:space="preserve">C719755</t>
  </si>
  <si>
    <t xml:space="preserve">Active</t>
  </si>
  <si>
    <t xml:space="preserve">Chosen (D-17): genuine part, re-simulated in P4 (all requirements pass), Toff 0.2 ms cuts post-trip charge 7.9 -&gt; 1.8 uC.</t>
  </si>
  <si>
    <t xml:space="preserve">CPC1025N</t>
  </si>
  <si>
    <t xml:space="preserve">IXYS / Littelfuse</t>
  </si>
  <si>
    <t xml:space="preserve">Digi-Key</t>
  </si>
  <si>
    <t xml:space="preserve">Last Time Buy 11/11/2026</t>
  </si>
  <si>
    <t xml:space="preserve">Rejected: end of life; slow (Toff 1 ms). Was the P2 baseline.</t>
  </si>
  <si>
    <t xml:space="preserve">AQV214EH</t>
  </si>
  <si>
    <t xml:space="preserve">Rejected: DIP-6 (different footprint), 50 Ohm A-connection, 1 ms Toff.</t>
  </si>
  <si>
    <t xml:space="preserve">KAQY214STLD</t>
  </si>
  <si>
    <t xml:space="preserve">Cosmo</t>
  </si>
  <si>
    <t xml:space="preserve">C113331</t>
  </si>
  <si>
    <t xml:space="preserve">Not chosen: second-source clone, datasheet not reviewed, not simulated.</t>
  </si>
  <si>
    <t xml:space="preserve">GAQY214S</t>
  </si>
  <si>
    <t xml:space="preserve">(LCSC listing)</t>
  </si>
  <si>
    <t xml:space="preserve">C19188661</t>
  </si>
  <si>
    <t xml:space="preserve">Not chosen: clone, datasheet not reviewed, not simulated. Cheapest backup if stock runs out.</t>
  </si>
  <si>
    <t xml:space="preserve">Sources</t>
  </si>
  <si>
    <t xml:space="preserve">Datasheets: 4-rev1-design/01_datasheets/AQY214S.md, CPC1025N.md, AQV214EH.md (repo SPICE_SIM).</t>
  </si>
  <si>
    <t xml:space="preserve">Clone Ron from the LCSC listing text (typ, not verified). Decision D-17 in 4-rev1-design/DECISIONS.md.</t>
  </si>
  <si>
    <t xml:space="preserve">Stock and prices: LCSC / JLCPCB, looked up 2026-10-26; green row = chosen.</t>
  </si>
  <si>
    <t xml:space="preserve">Pump REF buffer U1 and input buffer U3 (36 V op amp)</t>
  </si>
  <si>
    <t xml:space="preserve">CHOSEN: TI OPA192IDBVR (LCSC C139648), 2 per channel; same family as U22 (OPA4192).
Why: the OPA171 offset (1.8 mV max, twice, /R7) is what made output accuracy (KPI 1) fail at 0.5-1 mA. OPA192 (25 uV) passes uncalibrated with +0.38 uA margin [H]; ngspice: no loss of stability (overshoot 20.5 -&gt; 14.8 %), compliance 13.146 -&gt; 13.124 kOhm [N]. Cost: +0.3 USD per part.</t>
  </si>
  <si>
    <t xml:space="preserve">Vos max (uV)</t>
  </si>
  <si>
    <t xml:space="preserve">Drift (uV/C)</t>
  </si>
  <si>
    <t xml:space="preserve">GBW (MHz)</t>
  </si>
  <si>
    <t xml:space="preserve">Slew (V/us)</t>
  </si>
  <si>
    <t xml:space="preserve">Iq max (mA)</t>
  </si>
  <si>
    <t xml:space="preserve">KPI 1 worst margin (uA) [H]</t>
  </si>
  <si>
    <t xml:space="preserve">K2 worst load (kOhm) [N]</t>
  </si>
  <si>
    <t xml:space="preserve">K3 worst overshoot (%) [N]</t>
  </si>
  <si>
    <t xml:space="preserve">TLE2141C</t>
  </si>
  <si>
    <t xml:space="preserve">TI</t>
  </si>
  <si>
    <t xml:space="preserve">Client original (S01). 4.5 mA Iq loads the floating rails; replaced by D-05.</t>
  </si>
  <si>
    <t xml:space="preserve">Rejected (D-21): 1.8 mV offset fails KPI 1 below ~1.5 mA without the FPGA zero calibration.</t>
  </si>
  <si>
    <t xml:space="preserve">OPA192IDBVR</t>
  </si>
  <si>
    <t xml:space="preserve">Chosen (D-21): same SOT-23-5 pinout; KPI 1 passes uncalibrated; less overshoot; compliance -0.02 kOhm (still &gt; 13).</t>
  </si>
  <si>
    <t xml:space="preserve">Datasheets: 01_datasheets/OPA171.md, OPA192.md, TLE2141.md. KPI 1: 02_calc/10_error_budget (U1/U3 Vos, drift swapped).</t>
  </si>
  <si>
    <t xml:space="preserve">K2 / K3: 03_sim tests_rev1.py re-run with U1 = OPA192 parameters (GBW 10 MHz, SR 20 V/us, Iq 1.2 mA). TLE2141 drift is typical.</t>
  </si>
  <si>
    <t xml:space="preserve">Read-back amplifiers U22 (x20 return current, VMID adder, electrode buffer, VMID buffer)</t>
  </si>
  <si>
    <t xml:space="preserve">CHOSEN: TI OPA4192IPWR (LCSC C2057935), 1 per channel.
Why: RET_SHUNT is only 10 mV/mA and gets x20.1 gain, so offset matters: OPA4192 (25 uV) keeps the error near 2.5 uA; an OPA4171 would add 0.18 mA. OPEN: the SOIC-14 version is half the price with 3x the stock.</t>
  </si>
  <si>
    <t xml:space="preserve">Option</t>
  </si>
  <si>
    <t xml:space="preserve">Package</t>
  </si>
  <si>
    <t xml:space="preserve">Parts per channel</t>
  </si>
  <si>
    <t xml:space="preserve">Cost per channel (USD)</t>
  </si>
  <si>
    <t xml:space="preserve">OPA4192IPWR</t>
  </si>
  <si>
    <t xml:space="preserve">TSSOP-14</t>
  </si>
  <si>
    <t xml:space="preserve">Chosen (as captured): one package for all four read-back amplifiers.</t>
  </si>
  <si>
    <t xml:space="preserve">OPA4192IDR</t>
  </si>
  <si>
    <t xml:space="preserve">SOIC-14</t>
  </si>
  <si>
    <t xml:space="preserve">Same die, half the price, 3x the stock: switch at layout if the footprint fits (open).</t>
  </si>
  <si>
    <t xml:space="preserve">OPA2192IDR x2</t>
  </si>
  <si>
    <t xml:space="preserve">SOIC-8</t>
  </si>
  <si>
    <t xml:space="preserve">Cheapest, best stock; two footprints and more area.</t>
  </si>
  <si>
    <t xml:space="preserve">OPA4171 (quad)</t>
  </si>
  <si>
    <t xml:space="preserve">Rejected: 1.8 mV x gain 20.1 = 36 mV = 0.18 mA error on I_RETURN_ADC.</t>
  </si>
  <si>
    <t xml:space="preserve">Datasheet: 01_datasheets/OPA192.md (OPA192 / OPA2192 / OPA4192 share the e-trim die).</t>
  </si>
  <si>
    <t xml:space="preserve">Cost per channel = unit price x parts per channel (formula).</t>
  </si>
  <si>
    <t xml:space="preserve">Isolated +/-12 V module U32 (one +12 V input from the power board)</t>
  </si>
  <si>
    <t xml:space="preserve">CHOSEN: A1212S-2WR3 (YLPTEC, LCSC C5369434).
Why: the power team supplies one +12 V (D-20); the board needs ~17 mA on +12 V and ~7 mA on -12 V, well inside +/-84 mA. Unregulated is fine because the +/-9 V LDOs follow it. -12 V runs below the 10 % minimum load, so it may sit up to 10 % high (OK for the LDO and U22).</t>
  </si>
  <si>
    <t xml:space="preserve">Brand</t>
  </si>
  <si>
    <t xml:space="preserve">LCSC</t>
  </si>
  <si>
    <t xml:space="preserve">Input (V)</t>
  </si>
  <si>
    <t xml:space="preserve">Regulated</t>
  </si>
  <si>
    <t xml:space="preserve">Power (W)</t>
  </si>
  <si>
    <t xml:space="preserve">Iout per rail (mA)</t>
  </si>
  <si>
    <t xml:space="preserve">Unit price (USD)</t>
  </si>
  <si>
    <t xml:space="preserve">A1212S-2WR3</t>
  </si>
  <si>
    <t xml:space="preserve">YLPTEC</t>
  </si>
  <si>
    <t xml:space="preserve">C5369434</t>
  </si>
  <si>
    <t xml:space="preserve">10.8-13.2</t>
  </si>
  <si>
    <t xml:space="preserve">No</t>
  </si>
  <si>
    <t xml:space="preserve">Chosen (D-20): +/-12 V from one +12 V input, best stock; check the module label (pinout).</t>
  </si>
  <si>
    <t xml:space="preserve">EVISUN</t>
  </si>
  <si>
    <t xml:space="preserve">C7500935</t>
  </si>
  <si>
    <t xml:space="preserve">Second source, same footprint.</t>
  </si>
  <si>
    <t xml:space="preserve">B1212D-1WR3</t>
  </si>
  <si>
    <t xml:space="preserve">Mornsun</t>
  </si>
  <si>
    <t xml:space="preserve">C22437296</t>
  </si>
  <si>
    <t xml:space="preserve">Genuine Mornsun but only 30 in stock.</t>
  </si>
  <si>
    <t xml:space="preserve">WRA1212S-3WR2</t>
  </si>
  <si>
    <t xml:space="preserve">C5369658</t>
  </si>
  <si>
    <t xml:space="preserve">9-18</t>
  </si>
  <si>
    <t xml:space="preserve">Yes</t>
  </si>
  <si>
    <t xml:space="preserve">Wider input; 2.8x price; not needed with a regulated +12 V.</t>
  </si>
  <si>
    <t xml:space="preserve">URA2412S-6WR3</t>
  </si>
  <si>
    <t xml:space="preserve">C3031188</t>
  </si>
  <si>
    <t xml:space="preserve">9-36</t>
  </si>
  <si>
    <t xml:space="preserve">Use only if the raw 2 x 9 V battery feeds the board directly (SIP-8, different footprint).</t>
  </si>
  <si>
    <t xml:space="preserve">YLPTEC A_S-2WR3 datasheet via LCSC C5369434 (pinout 1 +Vin, 2 -Vin, 4 -Vo, 5 COM, 6 +Vo; min load 10 %).</t>
  </si>
  <si>
    <t xml:space="preserve">Load estimate: U22 4.8 mA, PhotoMOS LEDs ~10 mA, LM4040 ~1 mA, LDO quiescent.</t>
  </si>
  <si>
    <t xml:space="preserve">Power and electrode connectors J1 / J2 / J4</t>
  </si>
  <si>
    <t xml:space="preserve">CHOSEN: KF128 5.08 mm screw terminals (3P for J1, 2P for J2 and J4).
Why: this is a bench board, so wires from bench supplies and dummy loads should go straight in with no crimping. The client used Molex Micro-Fit (locking, 600 V): keep it in mind for the product. The electrode connector the client used (likely DIN 42802 touch-proof) has no part number to confirm.</t>
  </si>
  <si>
    <t xml:space="preserve">Use</t>
  </si>
  <si>
    <t xml:space="preserve">Pitch (mm)</t>
  </si>
  <si>
    <t xml:space="preserve">Rated V</t>
  </si>
  <si>
    <t xml:space="preserve">Locking</t>
  </si>
  <si>
    <t xml:space="preserve">Crimp needed</t>
  </si>
  <si>
    <t xml:space="preserve">KF128-5.08-3P</t>
  </si>
  <si>
    <t xml:space="preserve">J1 HV in</t>
  </si>
  <si>
    <t xml:space="preserve">C474953</t>
  </si>
  <si>
    <t xml:space="preserve">Chosen: bench supply leads screw straight in; 5.08 mm pitch for 220 V between rails.</t>
  </si>
  <si>
    <t xml:space="preserve">KF128-5.08-2P-AA</t>
  </si>
  <si>
    <t xml:space="preserve">J2 +12 V, J4 electrodes</t>
  </si>
  <si>
    <t xml:space="preserve">C474952</t>
  </si>
  <si>
    <t xml:space="preserve">Chosen: same family as J1; dummy loads and cut touch-proof leads screw in.</t>
  </si>
  <si>
    <t xml:space="preserve">Molex 43650-0300 (Micro-Fit 3.0)</t>
  </si>
  <si>
    <t xml:space="preserve">client style</t>
  </si>
  <si>
    <t xml:space="preserve">C503478</t>
  </si>
  <si>
    <t xml:space="preserve">Not chosen: needs crimped leads or a crimp tool; fine for the product.</t>
  </si>
  <si>
    <t xml:space="preserve">Molex 43650-0400 (Micro-Fit 3.0)</t>
  </si>
  <si>
    <t xml:space="preserve">C277684</t>
  </si>
  <si>
    <t xml:space="preserve">Not chosen: as above.</t>
  </si>
  <si>
    <t xml:space="preserve">JST B4B-XH-A</t>
  </si>
  <si>
    <t xml:space="preserve">old J2 (4 rails)</t>
  </si>
  <si>
    <t xml:space="preserve">C594232</t>
  </si>
  <si>
    <t xml:space="preserve">Friction</t>
  </si>
  <si>
    <t xml:space="preserve">Dropped with the +5 V / -12 V inputs (D-20).</t>
  </si>
  <si>
    <t xml:space="preserve">Ratings from the LCSC listings (KF128 2P listing says 250 V; the P4 BoM entry says 300 V: check the datasheet).</t>
  </si>
  <si>
    <t xml:space="preserve">Red indicator LEDs D6 OUT EN, D8 PWR (0805)</t>
  </si>
  <si>
    <t xml:space="preserve">CHOSEN: NATIONSTAR NCD0805R1 (LCSC C84256).
Why: JLC Basic part (no extended-part fee), 195 mcd, Vf 1.6-2.6 V. D6 sits in the PhotoMOS LED string (RLED1 750 Ohm keeps ~10 mA: 6.9 mA worst low, above the 3 mA turn-on). D8 runs at ~1 mA from +/-9 V.</t>
  </si>
  <si>
    <t xml:space="preserve">JLC library</t>
  </si>
  <si>
    <t xml:space="preserve">Intensity (mcd)</t>
  </si>
  <si>
    <t xml:space="preserve">Vf (V)</t>
  </si>
  <si>
    <t xml:space="preserve">NCD0805R1</t>
  </si>
  <si>
    <t xml:space="preserve">NATIONSTAR</t>
  </si>
  <si>
    <t xml:space="preserve">C84256</t>
  </si>
  <si>
    <t xml:space="preserve">Basic</t>
  </si>
  <si>
    <t xml:space="preserve">1.6-2.6</t>
  </si>
  <si>
    <t xml:space="preserve">Chosen (D-22): JLC Basic (no extended-part fee), bright, huge stock.</t>
  </si>
  <si>
    <t xml:space="preserve">SZYY0805R</t>
  </si>
  <si>
    <t xml:space="preserve">C434431</t>
  </si>
  <si>
    <t xml:space="preserve">Extended</t>
  </si>
  <si>
    <t xml:space="preserve">1.8-2.4</t>
  </si>
  <si>
    <t xml:space="preserve">Fine, but extended.</t>
  </si>
  <si>
    <t xml:space="preserve">KENTO</t>
  </si>
  <si>
    <t xml:space="preserve">C2295</t>
  </si>
  <si>
    <t xml:space="preserve">2.4 max</t>
  </si>
  <si>
    <t xml:space="preserve">LTST-C170KRKT</t>
  </si>
  <si>
    <t xml:space="preserve">Lite-On</t>
  </si>
  <si>
    <t xml:space="preserve">C94868</t>
  </si>
  <si>
    <t xml:space="preserve">2.0</t>
  </si>
  <si>
    <t xml:space="preserve">Dim; extended.</t>
  </si>
  <si>
    <t xml:space="preserve">LCSC / JLCPCB listings. String current: (12 - 2 x 1.14 - 2.0) / 750 = 10 mA (D-22).</t>
  </si>
  <si>
    <t xml:space="preserve">Passive sizing (D-23): 0603 by default, larger only where voltage, power, precision or rework needs it</t>
  </si>
  <si>
    <t xml:space="preserve">RULE: 0603 unless the part sees more than ~50 V or ~50 mW, needs low self-heating (precision current set), or is reworked by hand. One part per value spec (value + tolerance); the larger size wins (R21 -&gt; 1206 with the 200k parts, R70 -&gt; 0805 with R7). The table below the chart lists every R and C as captured today.</t>
  </si>
  <si>
    <t xml:space="preserve">Max working V (thick film)</t>
  </si>
  <si>
    <t xml:space="preserve">Power rating (W)</t>
  </si>
  <si>
    <t xml:space="preserve">Used for</t>
  </si>
  <si>
    <t xml:space="preserve">Count</t>
  </si>
  <si>
    <t xml:space="preserve">0603</t>
  </si>
  <si>
    <t xml:space="preserve">default: logic, op-amp networks, decoupling, LDO feedback</t>
  </si>
  <si>
    <t xml:space="preserve">0805</t>
  </si>
  <si>
    <t xml:space="preserve">R3/R4 (54 mW), R7/R70 (precision, 77 mW fault), RLIM1 (rework), 10 uF 25 V MLCC</t>
  </si>
  <si>
    <t xml:space="preserve">1206</t>
  </si>
  <si>
    <t xml:space="preserve">bias string, bench-bias RB1/RB2, 20 MOhm divider, RLED1 (0.16 W), C1 250 V</t>
  </si>
  <si>
    <t xml:space="preserve">1812</t>
  </si>
  <si>
    <t xml:space="preserve">C2/C3 1 uF 400 V on the HV rails</t>
  </si>
  <si>
    <t xml:space="preserve">2512</t>
  </si>
  <si>
    <t xml:space="preserve">rail shunts RSP/RSN (survive a fused board short)</t>
  </si>
  <si>
    <t xml:space="preserve">Ratings: UNI-ROYAL 0603WAF / 0805W8F / 1206W4F / 25121WF datasheets (via LCSC). Counts are COUNTIF formulas over the list below.</t>
  </si>
  <si>
    <t xml:space="preserve">Ref</t>
  </si>
  <si>
    <t xml:space="preserve">Value</t>
  </si>
  <si>
    <t xml:space="preserve">Note (from the schematic)</t>
  </si>
  <si>
    <t xml:space="preserve">C21</t>
  </si>
  <si>
    <t xml:space="preserve">47p C0G 50V 0603</t>
  </si>
  <si>
    <t xml:space="preserve">C1671</t>
  </si>
  <si>
    <t xml:space="preserve">C30</t>
  </si>
  <si>
    <t xml:space="preserve">100n X7R 50V 0603</t>
  </si>
  <si>
    <t xml:space="preserve">C1591</t>
  </si>
  <si>
    <t xml:space="preserve">at U3</t>
  </si>
  <si>
    <t xml:space="preserve">C31</t>
  </si>
  <si>
    <t xml:space="preserve">C34</t>
  </si>
  <si>
    <t xml:space="preserve">10n X7R 50V 0603</t>
  </si>
  <si>
    <t xml:space="preserve">C1589</t>
  </si>
  <si>
    <t xml:space="preserve">C37</t>
  </si>
  <si>
    <t xml:space="preserve">C40</t>
  </si>
  <si>
    <t xml:space="preserve">floating-supply decoupling at U1/U2</t>
  </si>
  <si>
    <t xml:space="preserve">C94</t>
  </si>
  <si>
    <t xml:space="preserve">at U22</t>
  </si>
  <si>
    <t xml:space="preserve">C95</t>
  </si>
  <si>
    <t xml:space="preserve">R22</t>
  </si>
  <si>
    <t xml:space="preserve">100k 1% 0603</t>
  </si>
  <si>
    <t xml:space="preserve">C25803</t>
  </si>
  <si>
    <t xml:space="preserve">ENABLE pull-down: floating = switches open</t>
  </si>
  <si>
    <t xml:space="preserve">R30</t>
  </si>
  <si>
    <t xml:space="preserve">66.5k 1% 0603</t>
  </si>
  <si>
    <t xml:space="preserve">C23225</t>
  </si>
  <si>
    <t xml:space="preserve">R31</t>
  </si>
  <si>
    <t xml:space="preserve">10.0k 1% 0603</t>
  </si>
  <si>
    <t xml:space="preserve">C25804</t>
  </si>
  <si>
    <t xml:space="preserve">R32</t>
  </si>
  <si>
    <t xml:space="preserve">R33</t>
  </si>
  <si>
    <t xml:space="preserve">R50</t>
  </si>
  <si>
    <t xml:space="preserve">5.1k 1% 0603</t>
  </si>
  <si>
    <t xml:space="preserve">C23186</t>
  </si>
  <si>
    <t xml:space="preserve">LM4040 bias from +9V: (9.0-4.096)/5.1k = 0.96 mA, ~0.8 mA in U29 after the R51/R52 divider</t>
  </si>
  <si>
    <t xml:space="preserve">R51</t>
  </si>
  <si>
    <t xml:space="preserve">14.7k 1% 0603</t>
  </si>
  <si>
    <t xml:space="preserve">C22874</t>
  </si>
  <si>
    <t xml:space="preserve">VMID = 4.096 x 10.0k / (14.7k + 10.0k) = 1.658 V: half of a 3.3 V ADC range; select to ADC</t>
  </si>
  <si>
    <t xml:space="preserve">R52</t>
  </si>
  <si>
    <t xml:space="preserve">BoM update: P4 row has 25.5k</t>
  </si>
  <si>
    <t xml:space="preserve">R53</t>
  </si>
  <si>
    <t xml:space="preserve">1k 1% 0603</t>
  </si>
  <si>
    <t xml:space="preserve">C21190</t>
  </si>
  <si>
    <t xml:space="preserve">series isolation to the cable</t>
  </si>
  <si>
    <t xml:space="preserve">R54</t>
  </si>
  <si>
    <t xml:space="preserve">R55</t>
  </si>
  <si>
    <t xml:space="preserve">R62</t>
  </si>
  <si>
    <t xml:space="preserve">15k 1% 0603</t>
  </si>
  <si>
    <t xml:space="preserve">C22809</t>
  </si>
  <si>
    <t xml:space="preserve">PWR LED: (18 - 2) / 15k = 1.1 mA</t>
  </si>
  <si>
    <t xml:space="preserve">R71</t>
  </si>
  <si>
    <t xml:space="preserve">19.1k 0.1% 25ppm 0603</t>
  </si>
  <si>
    <t xml:space="preserve">C861184</t>
  </si>
  <si>
    <t xml:space="preserve">BoM update: P4 row has 100k</t>
  </si>
  <si>
    <t xml:space="preserve">R72</t>
  </si>
  <si>
    <t xml:space="preserve">10.0k 0.1% 25ppm 0603</t>
  </si>
  <si>
    <t xml:space="preserve">C95204</t>
  </si>
  <si>
    <t xml:space="preserve">difference amp 4 x 10.0k 0.1 %: I_RETURN_BUF = VMID + I_RETURN_X20; BoM update: P4 row has</t>
  </si>
  <si>
    <t xml:space="preserve">R73</t>
  </si>
  <si>
    <t xml:space="preserve">BoM update: P4 row has 10k</t>
  </si>
  <si>
    <t xml:space="preserve">R74</t>
  </si>
  <si>
    <t xml:space="preserve">R75</t>
  </si>
  <si>
    <t xml:space="preserve">RS1</t>
  </si>
  <si>
    <t xml:space="preserve">clamp series resistor</t>
  </si>
  <si>
    <t xml:space="preserve">RSHR1</t>
  </si>
  <si>
    <t xml:space="preserve">10 0.1% 25ppm 0603</t>
  </si>
  <si>
    <t xml:space="preserve">C861082</t>
  </si>
  <si>
    <t xml:space="preserve">return shunt: 10 mV/mA to the read-back amplifier</t>
  </si>
  <si>
    <t xml:space="preserve">C32</t>
  </si>
  <si>
    <t xml:space="preserve">10u X5R 25V 0805</t>
  </si>
  <si>
    <t xml:space="preserve">C15850</t>
  </si>
  <si>
    <t xml:space="preserve">C33</t>
  </si>
  <si>
    <t xml:space="preserve">C35</t>
  </si>
  <si>
    <t xml:space="preserve">C36</t>
  </si>
  <si>
    <t xml:space="preserve">C38</t>
  </si>
  <si>
    <t xml:space="preserve">U32 input capacitor</t>
  </si>
  <si>
    <t xml:space="preserve">R3</t>
  </si>
  <si>
    <t xml:space="preserve">14.3k 1% 0805</t>
  </si>
  <si>
    <t xml:space="preserve">C17456</t>
  </si>
  <si>
    <t xml:space="preserve">D-05; 0805 for power: up to ~1.95 mA x 14.3k = 28 V, 54 mW (110 V rail, output at -90 V)</t>
  </si>
  <si>
    <t xml:space="preserve">R4</t>
  </si>
  <si>
    <t xml:space="preserve">R7</t>
  </si>
  <si>
    <t xml:space="preserve">1.00k 0.1% 25ppm 0805</t>
  </si>
  <si>
    <t xml:space="preserve">C110774</t>
  </si>
  <si>
    <t xml:space="preserve">sets the transconductance (1 mA/V); BoM update: P4 row has 1k 0.1% 25ppm</t>
  </si>
  <si>
    <t xml:space="preserve">R70</t>
  </si>
  <si>
    <t xml:space="preserve">x20.1 with R71</t>
  </si>
  <si>
    <t xml:space="preserve">RLIM1</t>
  </si>
  <si>
    <t xml:space="preserve">SOT 165-432 1% 0805</t>
  </si>
  <si>
    <t xml:space="preserve">select on test: R = (|Vgs(7.6 mA)| + 10 mV) / 7.6 mA, E96 (D-02); limit 6.4-8.8 mA</t>
  </si>
  <si>
    <t xml:space="preserve">C1</t>
  </si>
  <si>
    <t xml:space="preserve">100n X7R 250V 1206</t>
  </si>
  <si>
    <t xml:space="preserve">C282822</t>
  </si>
  <si>
    <t xml:space="preserve">S01 C1 between the driver bases</t>
  </si>
  <si>
    <t xml:space="preserve">R1</t>
  </si>
  <si>
    <t xml:space="preserve">44.2k 1% 200V 1206</t>
  </si>
  <si>
    <t xml:space="preserve">C53284084</t>
  </si>
  <si>
    <t xml:space="preserve">R2</t>
  </si>
  <si>
    <t xml:space="preserve">R20A1</t>
  </si>
  <si>
    <t xml:space="preserve">10.0M 1% 200V 1206</t>
  </si>
  <si>
    <t xml:space="preserve">C2933576</t>
  </si>
  <si>
    <t xml:space="preserve">electrode-voltage divider, 2 x 10.0 M (voltage rating)</t>
  </si>
  <si>
    <t xml:space="preserve">R20B1</t>
  </si>
  <si>
    <t xml:space="preserve">R21</t>
  </si>
  <si>
    <t xml:space="preserve">200k 1% 200V 1206</t>
  </si>
  <si>
    <t xml:space="preserve">C17954</t>
  </si>
  <si>
    <t xml:space="preserve">divider bottom to VMID; same part as R60/R61 (one part per value, larger size)</t>
  </si>
  <si>
    <t xml:space="preserve">R5</t>
  </si>
  <si>
    <t xml:space="preserve">R6</t>
  </si>
  <si>
    <t xml:space="preserve">RB1</t>
  </si>
  <si>
    <t xml:space="preserve">41.2k 1% 200V 1206</t>
  </si>
  <si>
    <t xml:space="preserve">C247267</t>
  </si>
  <si>
    <t xml:space="preserve">bench bias: parallels R1+R2 so the string passes ~0.3 mA at +/-15..30 V</t>
  </si>
  <si>
    <t xml:space="preserve">RB2</t>
  </si>
  <si>
    <t xml:space="preserve">bench bias: parallels R5+R6</t>
  </si>
  <si>
    <t xml:space="preserve">RLED1</t>
  </si>
  <si>
    <t xml:space="preserve">750 1% 1206</t>
  </si>
  <si>
    <t xml:space="preserve">C17985</t>
  </si>
  <si>
    <t xml:space="preserve">PhotoMOS LED string with D6: (12 - 2 x 1.14 - 2.0) / 750 = 10 mA; 6.9 mA min at 10.8 V, ma</t>
  </si>
  <si>
    <t xml:space="preserve">C2</t>
  </si>
  <si>
    <t xml:space="preserve">1u X7R 400V 1812</t>
  </si>
  <si>
    <t xml:space="preserve">C19267793</t>
  </si>
  <si>
    <t xml:space="preserve">C3</t>
  </si>
  <si>
    <t xml:space="preserve">RSN1</t>
  </si>
  <si>
    <t xml:space="preserve">10 1% 1W 2512</t>
  </si>
  <si>
    <t xml:space="preserve">C47019</t>
  </si>
  <si>
    <t xml:space="preserve">rail current measurement shunt; BoM update: P4 row has 47</t>
  </si>
  <si>
    <t xml:space="preserve">RSP1</t>
  </si>
  <si>
    <t xml:space="preserve">rail current measurement shunt (50 mV at 5 mA); was 47 Ohm for the removed OC trip; BoM up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</si>
</sst>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2162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555555"/>
      </patternFill>
    </fill>
    <fill>
      <patternFill patternType="solid">
        <fgColor rgb="FFF3F3F3"/>
        <bgColor rgb="FFF9F9F9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3F3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A21622"/>
      <rgbColor rgb="FF993366"/>
      <rgbColor rgb="FF55555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Turn-off time, max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'PhotoMOS U4-U5'!G24</c:f>
              <c:strCache>
                <c:ptCount val="1"/>
                <c:pt idx="0">
                  <c:v>Toff max (ms)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'PhotoMOS U4-U5'!$A$25:$A$27</c:f>
              <c:strCache>
                <c:ptCount val="3"/>
                <c:pt idx="0">
                  <c:v>AQY214SX</c:v>
                </c:pt>
                <c:pt idx="1">
                  <c:v>CPC1025N</c:v>
                </c:pt>
                <c:pt idx="2">
                  <c:v>AQV214EH</c:v>
                </c:pt>
              </c:strCache>
            </c:strRef>
          </c:cat>
          <c:val>
            <c:numRef>
              <c:f>'PhotoMOS U4-U5'!$G$25:$G$27</c:f>
              <c:numCache>
                <c:formatCode>General</c:formatCode>
                <c:ptCount val="3"/>
                <c:pt idx="0">
                  <c:v>0.2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4442591"/>
        <c:axId val="19970880"/>
      </c:barChart>
      <c:catAx>
        <c:axId val="444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70880"/>
        <c:crosses val="autoZero"/>
        <c:auto val="1"/>
        <c:lblAlgn val="ctr"/>
        <c:lblOffset val="100"/>
        <c:noMultiLvlLbl val="0"/>
      </c:catAx>
      <c:valAx>
        <c:axId val="19970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4259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Unit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'PhotoMOS U4-U5'!J24</c:f>
              <c:strCache>
                <c:ptCount val="1"/>
                <c:pt idx="0">
                  <c:v>Unit price (USD @10)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'PhotoMOS U4-U5'!$A$25:$A$29</c:f>
              <c:strCache>
                <c:ptCount val="5"/>
                <c:pt idx="0">
                  <c:v>AQY214SX</c:v>
                </c:pt>
                <c:pt idx="1">
                  <c:v>CPC1025N</c:v>
                </c:pt>
                <c:pt idx="2">
                  <c:v>AQV214EH</c:v>
                </c:pt>
                <c:pt idx="3">
                  <c:v>KAQY214STLD</c:v>
                </c:pt>
                <c:pt idx="4">
                  <c:v>GAQY214S</c:v>
                </c:pt>
              </c:strCache>
            </c:strRef>
          </c:cat>
          <c:val>
            <c:numRef>
              <c:f>'PhotoMOS U4-U5'!$J$25:$J$29</c:f>
              <c:numCache>
                <c:formatCode>General</c:formatCode>
                <c:ptCount val="5"/>
                <c:pt idx="0">
                  <c:v>1.44</c:v>
                </c:pt>
                <c:pt idx="3">
                  <c:v>0.7</c:v>
                </c:pt>
                <c:pt idx="4">
                  <c:v>0.5</c:v>
                </c:pt>
              </c:numCache>
            </c:numRef>
          </c:val>
        </c:ser>
        <c:gapWidth val="150"/>
        <c:overlap val="0"/>
        <c:axId val="23888194"/>
        <c:axId val="22745477"/>
      </c:barChart>
      <c:catAx>
        <c:axId val="23888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745477"/>
        <c:crosses val="autoZero"/>
        <c:auto val="1"/>
        <c:lblAlgn val="ctr"/>
        <c:lblOffset val="100"/>
        <c:noMultiLvlLbl val="0"/>
      </c:catAx>
      <c:valAx>
        <c:axId val="22745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888194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Offset voltage, max (log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'Op amp U1-U3'!C24</c:f>
              <c:strCache>
                <c:ptCount val="1"/>
                <c:pt idx="0">
                  <c:v>Vos max (uV)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 amp U1-U3'!$A$25:$A$27</c:f>
              <c:strCache>
                <c:ptCount val="3"/>
                <c:pt idx="0">
                  <c:v>TLE2141C</c:v>
                </c:pt>
                <c:pt idx="1">
                  <c:v>OPA171AIDBVR</c:v>
                </c:pt>
                <c:pt idx="2">
                  <c:v>OPA192IDBVR</c:v>
                </c:pt>
              </c:strCache>
            </c:strRef>
          </c:cat>
          <c:val>
            <c:numRef>
              <c:f>'Op amp U1-U3'!$C$25:$C$27</c:f>
              <c:numCache>
                <c:formatCode>General</c:formatCode>
                <c:ptCount val="3"/>
                <c:pt idx="0">
                  <c:v>900</c:v>
                </c:pt>
                <c:pt idx="1">
                  <c:v>1800</c:v>
                </c:pt>
                <c:pt idx="2">
                  <c:v>25</c:v>
                </c:pt>
              </c:numCache>
            </c:numRef>
          </c:val>
        </c:ser>
        <c:gapWidth val="150"/>
        <c:overlap val="0"/>
        <c:axId val="14561868"/>
        <c:axId val="62637663"/>
      </c:barChart>
      <c:catAx>
        <c:axId val="14561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637663"/>
        <c:crosses val="autoZero"/>
        <c:auto val="1"/>
        <c:lblAlgn val="ctr"/>
        <c:lblOffset val="100"/>
        <c:noMultiLvlLbl val="0"/>
      </c:catAx>
      <c:valAx>
        <c:axId val="626376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561868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KPI 1 worst-case margin (negative = fails)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'Op amp U1-U3'!J24</c:f>
              <c:strCache>
                <c:ptCount val="1"/>
                <c:pt idx="0">
                  <c:v>KPI 1 worst margin (uA) [H]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 amp U1-U3'!$A$25:$A$27</c:f>
              <c:strCache>
                <c:ptCount val="3"/>
                <c:pt idx="0">
                  <c:v>TLE2141C</c:v>
                </c:pt>
                <c:pt idx="1">
                  <c:v>OPA171AIDBVR</c:v>
                </c:pt>
                <c:pt idx="2">
                  <c:v>OPA192IDBVR</c:v>
                </c:pt>
              </c:strCache>
            </c:strRef>
          </c:cat>
          <c:val>
            <c:numRef>
              <c:f>'Op amp U1-U3'!$J$25:$J$27</c:f>
              <c:numCache>
                <c:formatCode>General</c:formatCode>
                <c:ptCount val="3"/>
                <c:pt idx="1">
                  <c:v>-3.24</c:v>
                </c:pt>
                <c:pt idx="2">
                  <c:v>0.38</c:v>
                </c:pt>
              </c:numCache>
            </c:numRef>
          </c:val>
        </c:ser>
        <c:gapWidth val="150"/>
        <c:overlap val="0"/>
        <c:axId val="42485213"/>
        <c:axId val="14699270"/>
      </c:barChart>
      <c:catAx>
        <c:axId val="42485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699270"/>
        <c:crosses val="autoZero"/>
        <c:auto val="1"/>
        <c:lblAlgn val="ctr"/>
        <c:lblOffset val="100"/>
        <c:noMultiLvlLbl val="0"/>
      </c:catAx>
      <c:valAx>
        <c:axId val="14699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8521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per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'Quad op amp U22'!G24</c:f>
              <c:strCache>
                <c:ptCount val="1"/>
                <c:pt idx="0">
                  <c:v>Cost per channel (USD)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'Quad op amp U22'!$A$25:$A$27</c:f>
              <c:strCache>
                <c:ptCount val="3"/>
                <c:pt idx="0">
                  <c:v>OPA4192IPWR</c:v>
                </c:pt>
                <c:pt idx="1">
                  <c:v>OPA4192IDR</c:v>
                </c:pt>
                <c:pt idx="2">
                  <c:v>OPA2192IDR x2</c:v>
                </c:pt>
              </c:strCache>
            </c:strRef>
          </c:cat>
          <c:val>
            <c:numRef>
              <c:f>'Quad op amp U22'!$G$25:$G$27</c:f>
              <c:numCache>
                <c:formatCode>General</c:formatCode>
                <c:ptCount val="3"/>
                <c:pt idx="0">
                  <c:v>5.45</c:v>
                </c:pt>
                <c:pt idx="1">
                  <c:v>2.65</c:v>
                </c:pt>
                <c:pt idx="2">
                  <c:v>1.88</c:v>
                </c:pt>
              </c:numCache>
            </c:numRef>
          </c:val>
        </c:ser>
        <c:gapWidth val="150"/>
        <c:overlap val="0"/>
        <c:axId val="7874794"/>
        <c:axId val="25771824"/>
      </c:barChart>
      <c:catAx>
        <c:axId val="78747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771824"/>
        <c:crosses val="autoZero"/>
        <c:auto val="1"/>
        <c:lblAlgn val="ctr"/>
        <c:lblOffset val="100"/>
        <c:noMultiLvlLbl val="0"/>
      </c:catAx>
      <c:valAx>
        <c:axId val="25771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74794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Unit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'DC-DC U32'!I24</c:f>
              <c:strCache>
                <c:ptCount val="1"/>
                <c:pt idx="0">
                  <c:v>Unit price (USD)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'DC-DC U32'!$A$25:$A$29</c:f>
              <c:strCache>
                <c:ptCount val="5"/>
                <c:pt idx="0">
                  <c:v>A1212S-2WR3</c:v>
                </c:pt>
                <c:pt idx="1">
                  <c:v>A1212S-2WR3</c:v>
                </c:pt>
                <c:pt idx="2">
                  <c:v>B1212D-1WR3</c:v>
                </c:pt>
                <c:pt idx="3">
                  <c:v>WRA1212S-3WR2</c:v>
                </c:pt>
                <c:pt idx="4">
                  <c:v>URA2412S-6WR3</c:v>
                </c:pt>
              </c:strCache>
            </c:strRef>
          </c:cat>
          <c:val>
            <c:numRef>
              <c:f>'DC-DC U32'!$I$25:$I$29</c:f>
              <c:numCache>
                <c:formatCode>General</c:formatCode>
                <c:ptCount val="5"/>
                <c:pt idx="0">
                  <c:v>1.76</c:v>
                </c:pt>
                <c:pt idx="1">
                  <c:v>1.77</c:v>
                </c:pt>
                <c:pt idx="2">
                  <c:v>1.67</c:v>
                </c:pt>
                <c:pt idx="3">
                  <c:v>4.86</c:v>
                </c:pt>
                <c:pt idx="4">
                  <c:v>6.95</c:v>
                </c:pt>
              </c:numCache>
            </c:numRef>
          </c:val>
        </c:ser>
        <c:gapWidth val="150"/>
        <c:overlap val="0"/>
        <c:axId val="70426763"/>
        <c:axId val="38355652"/>
      </c:barChart>
      <c:catAx>
        <c:axId val="70426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355652"/>
        <c:crosses val="autoZero"/>
        <c:auto val="1"/>
        <c:lblAlgn val="ctr"/>
        <c:lblOffset val="100"/>
        <c:noMultiLvlLbl val="0"/>
      </c:catAx>
      <c:valAx>
        <c:axId val="383556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42676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LCSC stock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'DC-DC U32'!H24</c:f>
              <c:strCache>
                <c:ptCount val="1"/>
                <c:pt idx="0">
                  <c:v>Stock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'DC-DC U32'!$A$25:$A$29</c:f>
              <c:strCache>
                <c:ptCount val="5"/>
                <c:pt idx="0">
                  <c:v>A1212S-2WR3</c:v>
                </c:pt>
                <c:pt idx="1">
                  <c:v>A1212S-2WR3</c:v>
                </c:pt>
                <c:pt idx="2">
                  <c:v>B1212D-1WR3</c:v>
                </c:pt>
                <c:pt idx="3">
                  <c:v>WRA1212S-3WR2</c:v>
                </c:pt>
                <c:pt idx="4">
                  <c:v>URA2412S-6WR3</c:v>
                </c:pt>
              </c:strCache>
            </c:strRef>
          </c:cat>
          <c:val>
            <c:numRef>
              <c:f>'DC-DC U32'!$H$25:$H$29</c:f>
              <c:numCache>
                <c:formatCode>General</c:formatCode>
                <c:ptCount val="5"/>
                <c:pt idx="0">
                  <c:v>935</c:v>
                </c:pt>
                <c:pt idx="1">
                  <c:v>306</c:v>
                </c:pt>
                <c:pt idx="2">
                  <c:v>30</c:v>
                </c:pt>
                <c:pt idx="3">
                  <c:v>153</c:v>
                </c:pt>
                <c:pt idx="4">
                  <c:v>619</c:v>
                </c:pt>
              </c:numCache>
            </c:numRef>
          </c:val>
        </c:ser>
        <c:gapWidth val="150"/>
        <c:overlap val="0"/>
        <c:axId val="52411120"/>
        <c:axId val="32253443"/>
      </c:barChart>
      <c:catAx>
        <c:axId val="524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253443"/>
        <c:crosses val="autoZero"/>
        <c:auto val="1"/>
        <c:lblAlgn val="ctr"/>
        <c:lblOffset val="100"/>
        <c:noMultiLvlLbl val="0"/>
      </c:catAx>
      <c:valAx>
        <c:axId val="32253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pcs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1112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Rated voltage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Connectors!E24</c:f>
              <c:strCache>
                <c:ptCount val="1"/>
                <c:pt idx="0">
                  <c:v>Rated V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Connectors!$A$25:$A$29</c:f>
              <c:strCache>
                <c:ptCount val="5"/>
                <c:pt idx="0">
                  <c:v>KF128-5.08-3P</c:v>
                </c:pt>
                <c:pt idx="1">
                  <c:v>KF128-5.08-2P-AA</c:v>
                </c:pt>
                <c:pt idx="2">
                  <c:v>Molex 43650-0300 (Micro-Fit 3.0)</c:v>
                </c:pt>
                <c:pt idx="3">
                  <c:v>Molex 43650-0400 (Micro-Fit 3.0)</c:v>
                </c:pt>
                <c:pt idx="4">
                  <c:v>JST B4B-XH-A</c:v>
                </c:pt>
              </c:strCache>
            </c:strRef>
          </c:cat>
          <c:val>
            <c:numRef>
              <c:f>Connectors!$E$25:$E$29</c:f>
              <c:numCache>
                <c:formatCode>General</c:formatCode>
                <c:ptCount val="5"/>
                <c:pt idx="0">
                  <c:v>300</c:v>
                </c:pt>
                <c:pt idx="1">
                  <c:v>250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</c:ser>
        <c:gapWidth val="150"/>
        <c:overlap val="0"/>
        <c:axId val="25486200"/>
        <c:axId val="27755074"/>
      </c:barChart>
      <c:catAx>
        <c:axId val="25486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755074"/>
        <c:crosses val="autoZero"/>
        <c:auto val="1"/>
        <c:lblAlgn val="ctr"/>
        <c:lblOffset val="100"/>
        <c:noMultiLvlLbl val="0"/>
      </c:catAx>
      <c:valAx>
        <c:axId val="27755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48620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Luminous intensity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'Indicator LED'!E24</c:f>
              <c:strCache>
                <c:ptCount val="1"/>
                <c:pt idx="0">
                  <c:v>Intensity (mcd)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'Indicator LED'!$A$25:$A$28</c:f>
              <c:strCache>
                <c:ptCount val="4"/>
                <c:pt idx="0">
                  <c:v>NCD0805R1</c:v>
                </c:pt>
                <c:pt idx="1">
                  <c:v>SZYY0805R</c:v>
                </c:pt>
                <c:pt idx="2">
                  <c:v>KT-0805R</c:v>
                </c:pt>
                <c:pt idx="3">
                  <c:v>LTST-C170KRKT</c:v>
                </c:pt>
              </c:strCache>
            </c:strRef>
          </c:cat>
          <c:val>
            <c:numRef>
              <c:f>'Indicator LED'!$E$25:$E$28</c:f>
              <c:numCache>
                <c:formatCode>General</c:formatCode>
                <c:ptCount val="4"/>
                <c:pt idx="0">
                  <c:v>195</c:v>
                </c:pt>
                <c:pt idx="1">
                  <c:v>120</c:v>
                </c:pt>
                <c:pt idx="2">
                  <c:v>210</c:v>
                </c:pt>
                <c:pt idx="3">
                  <c:v>54</c:v>
                </c:pt>
              </c:numCache>
            </c:numRef>
          </c:val>
        </c:ser>
        <c:gapWidth val="150"/>
        <c:overlap val="0"/>
        <c:axId val="81390905"/>
        <c:axId val="57757597"/>
      </c:barChart>
      <c:catAx>
        <c:axId val="81390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757597"/>
        <c:crosses val="autoZero"/>
        <c:auto val="1"/>
        <c:lblAlgn val="ctr"/>
        <c:lblOffset val="100"/>
        <c:noMultiLvlLbl val="0"/>
      </c:catAx>
      <c:valAx>
        <c:axId val="57757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mcd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90905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Passives per package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'Passive sizing'!E24</c:f>
              <c:strCache>
                <c:ptCount val="1"/>
                <c:pt idx="0">
                  <c:v>Count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'Passive sizing'!$A$25:$A$29</c:f>
              <c:strCache>
                <c:ptCount val="5"/>
                <c:pt idx="0">
                  <c:v>0603</c:v>
                </c:pt>
                <c:pt idx="1">
                  <c:v>0805</c:v>
                </c:pt>
                <c:pt idx="2">
                  <c:v>1206</c:v>
                </c:pt>
                <c:pt idx="3">
                  <c:v>1812</c:v>
                </c:pt>
                <c:pt idx="4">
                  <c:v>2512</c:v>
                </c:pt>
              </c:strCache>
            </c:strRef>
          </c:cat>
          <c:val>
            <c:numRef>
              <c:f>'Passive sizing'!$E$25:$E$29</c:f>
              <c:numCache>
                <c:formatCode>General</c:formatCode>
                <c:ptCount val="5"/>
                <c:pt idx="0">
                  <c:v>27</c:v>
                </c:pt>
                <c:pt idx="1">
                  <c:v>10</c:v>
                </c:pt>
                <c:pt idx="2">
                  <c:v>11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50136683"/>
        <c:axId val="22458533"/>
      </c:barChart>
      <c:catAx>
        <c:axId val="501366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58533"/>
        <c:crosses val="autoZero"/>
        <c:auto val="1"/>
        <c:lblAlgn val="ctr"/>
        <c:lblOffset val="100"/>
        <c:noMultiLvlLbl val="0"/>
      </c:catAx>
      <c:valAx>
        <c:axId val="22458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parts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3668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270360</xdr:colOff>
      <xdr:row>19</xdr:row>
      <xdr:rowOff>43200</xdr:rowOff>
    </xdr:to>
    <xdr:graphicFrame>
      <xdr:nvGraphicFramePr>
        <xdr:cNvPr id="1" name="Chart 1"/>
        <xdr:cNvGraphicFramePr/>
      </xdr:nvGraphicFramePr>
      <xdr:xfrm>
        <a:off x="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0</xdr:rowOff>
    </xdr:from>
    <xdr:to>
      <xdr:col>11</xdr:col>
      <xdr:colOff>622800</xdr:colOff>
      <xdr:row>19</xdr:row>
      <xdr:rowOff>43200</xdr:rowOff>
    </xdr:to>
    <xdr:graphicFrame>
      <xdr:nvGraphicFramePr>
        <xdr:cNvPr id="2" name="Chart 2"/>
        <xdr:cNvGraphicFramePr/>
      </xdr:nvGraphicFramePr>
      <xdr:xfrm>
        <a:off x="493380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6</xdr:col>
      <xdr:colOff>340920</xdr:colOff>
      <xdr:row>19</xdr:row>
      <xdr:rowOff>43200</xdr:rowOff>
    </xdr:to>
    <xdr:graphicFrame>
      <xdr:nvGraphicFramePr>
        <xdr:cNvPr id="3" name="Chart 1"/>
        <xdr:cNvGraphicFramePr/>
      </xdr:nvGraphicFramePr>
      <xdr:xfrm>
        <a:off x="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12</xdr:col>
      <xdr:colOff>482040</xdr:colOff>
      <xdr:row>19</xdr:row>
      <xdr:rowOff>43200</xdr:rowOff>
    </xdr:to>
    <xdr:graphicFrame>
      <xdr:nvGraphicFramePr>
        <xdr:cNvPr id="4" name="Chart 2"/>
        <xdr:cNvGraphicFramePr/>
      </xdr:nvGraphicFramePr>
      <xdr:xfrm>
        <a:off x="479304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200160</xdr:colOff>
      <xdr:row>19</xdr:row>
      <xdr:rowOff>43200</xdr:rowOff>
    </xdr:to>
    <xdr:graphicFrame>
      <xdr:nvGraphicFramePr>
        <xdr:cNvPr id="5" name="Chart 1"/>
        <xdr:cNvGraphicFramePr/>
      </xdr:nvGraphicFramePr>
      <xdr:xfrm>
        <a:off x="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552600</xdr:colOff>
      <xdr:row>19</xdr:row>
      <xdr:rowOff>43200</xdr:rowOff>
    </xdr:to>
    <xdr:graphicFrame>
      <xdr:nvGraphicFramePr>
        <xdr:cNvPr id="6" name="Chart 1"/>
        <xdr:cNvGraphicFramePr/>
      </xdr:nvGraphicFramePr>
      <xdr:xfrm>
        <a:off x="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</xdr:row>
      <xdr:rowOff>0</xdr:rowOff>
    </xdr:from>
    <xdr:to>
      <xdr:col>9</xdr:col>
      <xdr:colOff>2314440</xdr:colOff>
      <xdr:row>19</xdr:row>
      <xdr:rowOff>43200</xdr:rowOff>
    </xdr:to>
    <xdr:graphicFrame>
      <xdr:nvGraphicFramePr>
        <xdr:cNvPr id="7" name="Chart 2"/>
        <xdr:cNvGraphicFramePr/>
      </xdr:nvGraphicFramePr>
      <xdr:xfrm>
        <a:off x="458136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120960</xdr:colOff>
      <xdr:row>19</xdr:row>
      <xdr:rowOff>43200</xdr:rowOff>
    </xdr:to>
    <xdr:graphicFrame>
      <xdr:nvGraphicFramePr>
        <xdr:cNvPr id="8" name="Chart 1"/>
        <xdr:cNvGraphicFramePr/>
      </xdr:nvGraphicFramePr>
      <xdr:xfrm>
        <a:off x="0" y="11728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5</xdr:col>
      <xdr:colOff>200160</xdr:colOff>
      <xdr:row>19</xdr:row>
      <xdr:rowOff>43200</xdr:rowOff>
    </xdr:to>
    <xdr:graphicFrame>
      <xdr:nvGraphicFramePr>
        <xdr:cNvPr id="9" name="Chart 1"/>
        <xdr:cNvGraphicFramePr/>
      </xdr:nvGraphicFramePr>
      <xdr:xfrm>
        <a:off x="0" y="1172880"/>
        <a:ext cx="44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3</xdr:col>
      <xdr:colOff>1656360</xdr:colOff>
      <xdr:row>19</xdr:row>
      <xdr:rowOff>43200</xdr:rowOff>
    </xdr:to>
    <xdr:graphicFrame>
      <xdr:nvGraphicFramePr>
        <xdr:cNvPr id="10" name="Chart 1"/>
        <xdr:cNvGraphicFramePr/>
      </xdr:nvGraphicFramePr>
      <xdr:xfrm>
        <a:off x="0" y="1172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tr">
        <f aca="false">HYPERLINK("#'PhotoMOS U4-U5'!A1","PhotoMOS U4-U5")</f>
        <v>PhotoMOS U4-U5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5" t="str">
        <f aca="false">HYPERLINK("#'Op amp U1-U3'!A1","Op amp U1-U3")</f>
        <v>Op amp U1-U3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5" t="str">
        <f aca="false">HYPERLINK("#'Quad op amp U22'!A1","Quad op amp U22")</f>
        <v>Quad op amp U22</v>
      </c>
    </row>
    <row r="8" customFormat="false" ht="23.8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26</v>
      </c>
      <c r="E8" s="4" t="s">
        <v>27</v>
      </c>
      <c r="F8" s="5" t="str">
        <f aca="false">HYPERLINK("#'DC-DC U32'!A1","DC-DC U32")</f>
        <v>DC-DC U32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5" t="str">
        <f aca="false">HYPERLINK("#'Connectors'!A1","Connectors")</f>
        <v>Connectors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5" t="str">
        <f aca="false">HYPERLINK("#'Indicator LED'!A1","Indicator LED")</f>
        <v>Indicator LED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5" t="str">
        <f aca="false">HYPERLINK("#'Passive sizing'!A1","Passive sizing")</f>
        <v>Passive sizing</v>
      </c>
    </row>
    <row r="12" customFormat="false" ht="15" hidden="false" customHeight="false" outlineLevel="0" collapsed="false">
      <c r="A12" s="4" t="s">
        <v>43</v>
      </c>
      <c r="B12" s="4" t="s">
        <v>44</v>
      </c>
      <c r="C12" s="4" t="s">
        <v>45</v>
      </c>
      <c r="D12" s="4" t="s">
        <v>41</v>
      </c>
      <c r="E12" s="4" t="s">
        <v>46</v>
      </c>
      <c r="F12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9" min="5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55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true" outlineLevel="0" collapsed="false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49</v>
      </c>
      <c r="B24" s="7" t="s">
        <v>50</v>
      </c>
      <c r="C24" s="7" t="s">
        <v>51</v>
      </c>
      <c r="D24" s="7" t="s">
        <v>52</v>
      </c>
      <c r="E24" s="7" t="s">
        <v>53</v>
      </c>
      <c r="F24" s="7" t="s">
        <v>54</v>
      </c>
      <c r="G24" s="7" t="s">
        <v>55</v>
      </c>
      <c r="H24" s="7" t="s">
        <v>56</v>
      </c>
      <c r="I24" s="7" t="s">
        <v>57</v>
      </c>
      <c r="J24" s="7" t="s">
        <v>58</v>
      </c>
      <c r="K24" s="7" t="s">
        <v>59</v>
      </c>
      <c r="L24" s="7" t="s">
        <v>60</v>
      </c>
    </row>
    <row r="25" customFormat="false" ht="35.05" hidden="false" customHeight="false" outlineLevel="0" collapsed="false">
      <c r="A25" s="8" t="s">
        <v>61</v>
      </c>
      <c r="B25" s="8" t="s">
        <v>62</v>
      </c>
      <c r="C25" s="8" t="s">
        <v>63</v>
      </c>
      <c r="D25" s="8" t="n">
        <v>400</v>
      </c>
      <c r="E25" s="8" t="n">
        <v>35</v>
      </c>
      <c r="F25" s="8" t="n">
        <v>0.5</v>
      </c>
      <c r="G25" s="8" t="n">
        <v>0.2</v>
      </c>
      <c r="H25" s="8" t="n">
        <v>3</v>
      </c>
      <c r="I25" s="8" t="n">
        <v>2871</v>
      </c>
      <c r="J25" s="8" t="n">
        <v>1.44</v>
      </c>
      <c r="K25" s="8" t="s">
        <v>64</v>
      </c>
      <c r="L25" s="8" t="s">
        <v>65</v>
      </c>
    </row>
    <row r="26" customFormat="false" ht="23.85" hidden="false" customHeight="false" outlineLevel="0" collapsed="false">
      <c r="A26" s="4" t="s">
        <v>66</v>
      </c>
      <c r="B26" s="4" t="s">
        <v>67</v>
      </c>
      <c r="C26" s="4" t="s">
        <v>68</v>
      </c>
      <c r="D26" s="4" t="n">
        <v>400</v>
      </c>
      <c r="E26" s="4" t="n">
        <v>30</v>
      </c>
      <c r="F26" s="4" t="n">
        <v>2</v>
      </c>
      <c r="G26" s="4" t="n">
        <v>1</v>
      </c>
      <c r="H26" s="4" t="n">
        <v>2</v>
      </c>
      <c r="I26" s="4"/>
      <c r="J26" s="4"/>
      <c r="K26" s="4" t="s">
        <v>69</v>
      </c>
      <c r="L26" s="4" t="s">
        <v>70</v>
      </c>
    </row>
    <row r="27" customFormat="false" ht="23.85" hidden="false" customHeight="false" outlineLevel="0" collapsed="false">
      <c r="A27" s="4" t="s">
        <v>71</v>
      </c>
      <c r="B27" s="4" t="s">
        <v>62</v>
      </c>
      <c r="C27" s="4" t="s">
        <v>68</v>
      </c>
      <c r="D27" s="4" t="n">
        <v>400</v>
      </c>
      <c r="E27" s="4" t="n">
        <v>50</v>
      </c>
      <c r="F27" s="4"/>
      <c r="G27" s="4" t="n">
        <v>1</v>
      </c>
      <c r="H27" s="4" t="n">
        <v>3</v>
      </c>
      <c r="I27" s="4"/>
      <c r="J27" s="4"/>
      <c r="K27" s="4" t="s">
        <v>64</v>
      </c>
      <c r="L27" s="4" t="s">
        <v>72</v>
      </c>
    </row>
    <row r="28" customFormat="false" ht="23.85" hidden="false" customHeight="false" outlineLevel="0" collapsed="false">
      <c r="A28" s="4" t="s">
        <v>73</v>
      </c>
      <c r="B28" s="4" t="s">
        <v>74</v>
      </c>
      <c r="C28" s="4" t="s">
        <v>75</v>
      </c>
      <c r="D28" s="4" t="n">
        <v>400</v>
      </c>
      <c r="E28" s="4" t="n">
        <v>20</v>
      </c>
      <c r="F28" s="4"/>
      <c r="G28" s="4"/>
      <c r="H28" s="4"/>
      <c r="I28" s="4" t="n">
        <v>28359</v>
      </c>
      <c r="J28" s="4" t="n">
        <v>0.7</v>
      </c>
      <c r="K28" s="4" t="s">
        <v>64</v>
      </c>
      <c r="L28" s="4" t="s">
        <v>76</v>
      </c>
    </row>
    <row r="29" customFormat="false" ht="23.85" hidden="false" customHeight="false" outlineLevel="0" collapsed="false">
      <c r="A29" s="4" t="s">
        <v>77</v>
      </c>
      <c r="B29" s="4" t="s">
        <v>78</v>
      </c>
      <c r="C29" s="4" t="s">
        <v>79</v>
      </c>
      <c r="D29" s="4" t="n">
        <v>400</v>
      </c>
      <c r="E29" s="4" t="n">
        <v>20</v>
      </c>
      <c r="F29" s="4"/>
      <c r="G29" s="4"/>
      <c r="H29" s="4"/>
      <c r="I29" s="4" t="n">
        <v>55766</v>
      </c>
      <c r="J29" s="4" t="n">
        <v>0.5</v>
      </c>
      <c r="K29" s="4" t="s">
        <v>64</v>
      </c>
      <c r="L29" s="4" t="s">
        <v>80</v>
      </c>
    </row>
    <row r="31" customFormat="false" ht="15" hidden="false" customHeight="false" outlineLevel="0" collapsed="false">
      <c r="A31" s="9" t="s">
        <v>81</v>
      </c>
    </row>
    <row r="32" customFormat="false" ht="15" hidden="false" customHeight="false" outlineLevel="0" collapsed="false">
      <c r="A32" s="2" t="s">
        <v>82</v>
      </c>
    </row>
    <row r="33" customFormat="false" ht="15" hidden="false" customHeight="false" outlineLevel="0" collapsed="false">
      <c r="A33" s="2" t="s">
        <v>83</v>
      </c>
    </row>
    <row r="34" customFormat="false" ht="15" hidden="false" customHeight="false" outlineLevel="0" collapsed="false">
      <c r="A34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55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true" outlineLevel="0" collapsed="false">
      <c r="A2" s="6" t="s">
        <v>86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49</v>
      </c>
      <c r="B24" s="7" t="s">
        <v>50</v>
      </c>
      <c r="C24" s="7" t="s">
        <v>87</v>
      </c>
      <c r="D24" s="7" t="s">
        <v>88</v>
      </c>
      <c r="E24" s="7" t="s">
        <v>89</v>
      </c>
      <c r="F24" s="7" t="s">
        <v>90</v>
      </c>
      <c r="G24" s="7" t="s">
        <v>91</v>
      </c>
      <c r="H24" s="7" t="s">
        <v>58</v>
      </c>
      <c r="I24" s="7" t="s">
        <v>57</v>
      </c>
      <c r="J24" s="7" t="s">
        <v>92</v>
      </c>
      <c r="K24" s="7" t="s">
        <v>93</v>
      </c>
      <c r="L24" s="7" t="s">
        <v>94</v>
      </c>
      <c r="M24" s="7" t="s">
        <v>60</v>
      </c>
    </row>
    <row r="25" customFormat="false" ht="23.85" hidden="false" customHeight="false" outlineLevel="0" collapsed="false">
      <c r="A25" s="4" t="s">
        <v>95</v>
      </c>
      <c r="B25" s="4" t="s">
        <v>96</v>
      </c>
      <c r="C25" s="4" t="n">
        <v>900</v>
      </c>
      <c r="D25" s="4" t="n">
        <v>1.7</v>
      </c>
      <c r="E25" s="4" t="n">
        <v>5.9</v>
      </c>
      <c r="F25" s="4" t="n">
        <v>45</v>
      </c>
      <c r="G25" s="4" t="n">
        <v>4.5</v>
      </c>
      <c r="H25" s="4"/>
      <c r="I25" s="4"/>
      <c r="J25" s="4"/>
      <c r="K25" s="4"/>
      <c r="L25" s="4"/>
      <c r="M25" s="4" t="s">
        <v>97</v>
      </c>
    </row>
    <row r="26" customFormat="false" ht="23.85" hidden="false" customHeight="false" outlineLevel="0" collapsed="false">
      <c r="A26" s="4" t="s">
        <v>16</v>
      </c>
      <c r="B26" s="4" t="s">
        <v>96</v>
      </c>
      <c r="C26" s="4" t="n">
        <v>1800</v>
      </c>
      <c r="D26" s="4" t="n">
        <v>2</v>
      </c>
      <c r="E26" s="4" t="n">
        <v>3</v>
      </c>
      <c r="F26" s="4" t="n">
        <v>1.5</v>
      </c>
      <c r="G26" s="4" t="n">
        <v>0.595</v>
      </c>
      <c r="H26" s="4" t="n">
        <v>1.04</v>
      </c>
      <c r="I26" s="4" t="n">
        <v>12071</v>
      </c>
      <c r="J26" s="4" t="n">
        <v>-3.24</v>
      </c>
      <c r="K26" s="4" t="n">
        <v>13.146</v>
      </c>
      <c r="L26" s="4" t="n">
        <v>20.5</v>
      </c>
      <c r="M26" s="4" t="s">
        <v>98</v>
      </c>
    </row>
    <row r="27" customFormat="false" ht="35.05" hidden="false" customHeight="false" outlineLevel="0" collapsed="false">
      <c r="A27" s="8" t="s">
        <v>99</v>
      </c>
      <c r="B27" s="8" t="s">
        <v>96</v>
      </c>
      <c r="C27" s="8" t="n">
        <v>25</v>
      </c>
      <c r="D27" s="8" t="n">
        <v>0.5</v>
      </c>
      <c r="E27" s="8" t="n">
        <v>10</v>
      </c>
      <c r="F27" s="8" t="n">
        <v>20</v>
      </c>
      <c r="G27" s="8" t="n">
        <v>1.2</v>
      </c>
      <c r="H27" s="8" t="n">
        <v>1.33</v>
      </c>
      <c r="I27" s="8" t="n">
        <v>4306</v>
      </c>
      <c r="J27" s="8" t="n">
        <v>0.38</v>
      </c>
      <c r="K27" s="8" t="n">
        <v>13.124</v>
      </c>
      <c r="L27" s="8" t="n">
        <v>14.8</v>
      </c>
      <c r="M27" s="8" t="s">
        <v>100</v>
      </c>
    </row>
    <row r="29" customFormat="false" ht="15" hidden="false" customHeight="false" outlineLevel="0" collapsed="false">
      <c r="A29" s="9" t="s">
        <v>81</v>
      </c>
    </row>
    <row r="30" customFormat="false" ht="15" hidden="false" customHeight="false" outlineLevel="0" collapsed="false">
      <c r="A30" s="2" t="s">
        <v>101</v>
      </c>
    </row>
    <row r="31" customFormat="false" ht="15" hidden="false" customHeight="false" outlineLevel="0" collapsed="false">
      <c r="A31" s="2" t="s">
        <v>102</v>
      </c>
    </row>
    <row r="32" customFormat="false" ht="15" hidden="false" customHeight="false" outlineLevel="0" collapsed="false">
      <c r="A32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true" outlineLevel="0" collapsed="false">
      <c r="A2" s="6" t="s">
        <v>104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105</v>
      </c>
      <c r="B24" s="7" t="s">
        <v>106</v>
      </c>
      <c r="C24" s="7" t="s">
        <v>87</v>
      </c>
      <c r="D24" s="7" t="s">
        <v>107</v>
      </c>
      <c r="E24" s="7" t="s">
        <v>58</v>
      </c>
      <c r="F24" s="7" t="s">
        <v>57</v>
      </c>
      <c r="G24" s="7" t="s">
        <v>108</v>
      </c>
      <c r="H24" s="7" t="s">
        <v>60</v>
      </c>
    </row>
    <row r="25" customFormat="false" ht="15" hidden="false" customHeight="false" outlineLevel="0" collapsed="false">
      <c r="A25" s="8" t="s">
        <v>109</v>
      </c>
      <c r="B25" s="8" t="s">
        <v>110</v>
      </c>
      <c r="C25" s="8" t="n">
        <v>25</v>
      </c>
      <c r="D25" s="8" t="n">
        <v>1</v>
      </c>
      <c r="E25" s="8" t="n">
        <v>5.45</v>
      </c>
      <c r="F25" s="8" t="n">
        <v>946</v>
      </c>
      <c r="G25" s="8" t="n">
        <f aca="false">E25*D25</f>
        <v>5.45</v>
      </c>
      <c r="H25" s="8" t="s">
        <v>111</v>
      </c>
    </row>
    <row r="26" customFormat="false" ht="23.85" hidden="false" customHeight="false" outlineLevel="0" collapsed="false">
      <c r="A26" s="4" t="s">
        <v>112</v>
      </c>
      <c r="B26" s="4" t="s">
        <v>113</v>
      </c>
      <c r="C26" s="4" t="n">
        <v>25</v>
      </c>
      <c r="D26" s="4" t="n">
        <v>1</v>
      </c>
      <c r="E26" s="4" t="n">
        <v>2.65</v>
      </c>
      <c r="F26" s="4" t="n">
        <v>2820</v>
      </c>
      <c r="G26" s="4" t="n">
        <f aca="false">E26*D26</f>
        <v>2.65</v>
      </c>
      <c r="H26" s="4" t="s">
        <v>114</v>
      </c>
    </row>
    <row r="27" customFormat="false" ht="15" hidden="false" customHeight="false" outlineLevel="0" collapsed="false">
      <c r="A27" s="4" t="s">
        <v>115</v>
      </c>
      <c r="B27" s="4" t="s">
        <v>116</v>
      </c>
      <c r="C27" s="4" t="n">
        <v>25</v>
      </c>
      <c r="D27" s="4" t="n">
        <v>2</v>
      </c>
      <c r="E27" s="4" t="n">
        <v>0.94</v>
      </c>
      <c r="F27" s="4" t="n">
        <v>34158</v>
      </c>
      <c r="G27" s="4" t="n">
        <f aca="false">E27*D27</f>
        <v>1.88</v>
      </c>
      <c r="H27" s="4" t="s">
        <v>117</v>
      </c>
    </row>
    <row r="28" customFormat="false" ht="23.85" hidden="false" customHeight="false" outlineLevel="0" collapsed="false">
      <c r="A28" s="4" t="s">
        <v>118</v>
      </c>
      <c r="B28" s="4" t="s">
        <v>110</v>
      </c>
      <c r="C28" s="4" t="n">
        <v>1800</v>
      </c>
      <c r="D28" s="4" t="n">
        <v>1</v>
      </c>
      <c r="E28" s="4"/>
      <c r="F28" s="4"/>
      <c r="G28" s="4"/>
      <c r="H28" s="4" t="s">
        <v>119</v>
      </c>
    </row>
    <row r="30" customFormat="false" ht="15" hidden="false" customHeight="false" outlineLevel="0" collapsed="false">
      <c r="A30" s="9" t="s">
        <v>81</v>
      </c>
    </row>
    <row r="31" customFormat="false" ht="15" hidden="false" customHeight="false" outlineLevel="0" collapsed="false">
      <c r="A31" s="2" t="s">
        <v>120</v>
      </c>
    </row>
    <row r="32" customFormat="false" ht="15" hidden="false" customHeight="false" outlineLevel="0" collapsed="false">
      <c r="A32" s="2" t="s">
        <v>121</v>
      </c>
    </row>
    <row r="33" customFormat="false" ht="15" hidden="false" customHeight="false" outlineLevel="0" collapsed="false">
      <c r="A33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true" outlineLevel="0" collapsed="false">
      <c r="A2" s="6" t="s">
        <v>123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49</v>
      </c>
      <c r="B24" s="7" t="s">
        <v>124</v>
      </c>
      <c r="C24" s="7" t="s">
        <v>125</v>
      </c>
      <c r="D24" s="7" t="s">
        <v>126</v>
      </c>
      <c r="E24" s="7" t="s">
        <v>127</v>
      </c>
      <c r="F24" s="7" t="s">
        <v>128</v>
      </c>
      <c r="G24" s="7" t="s">
        <v>129</v>
      </c>
      <c r="H24" s="7" t="s">
        <v>57</v>
      </c>
      <c r="I24" s="7" t="s">
        <v>130</v>
      </c>
      <c r="J24" s="7" t="s">
        <v>60</v>
      </c>
    </row>
    <row r="25" customFormat="false" ht="23.85" hidden="false" customHeight="false" outlineLevel="0" collapsed="false">
      <c r="A25" s="8" t="s">
        <v>131</v>
      </c>
      <c r="B25" s="8" t="s">
        <v>132</v>
      </c>
      <c r="C25" s="8" t="s">
        <v>133</v>
      </c>
      <c r="D25" s="8" t="s">
        <v>134</v>
      </c>
      <c r="E25" s="8" t="s">
        <v>135</v>
      </c>
      <c r="F25" s="8" t="n">
        <v>2</v>
      </c>
      <c r="G25" s="8" t="n">
        <v>84</v>
      </c>
      <c r="H25" s="8" t="n">
        <v>935</v>
      </c>
      <c r="I25" s="8" t="n">
        <v>1.76</v>
      </c>
      <c r="J25" s="8" t="s">
        <v>136</v>
      </c>
    </row>
    <row r="26" customFormat="false" ht="15" hidden="false" customHeight="false" outlineLevel="0" collapsed="false">
      <c r="A26" s="4" t="s">
        <v>131</v>
      </c>
      <c r="B26" s="4" t="s">
        <v>137</v>
      </c>
      <c r="C26" s="4" t="s">
        <v>138</v>
      </c>
      <c r="D26" s="4" t="s">
        <v>134</v>
      </c>
      <c r="E26" s="4" t="s">
        <v>135</v>
      </c>
      <c r="F26" s="4" t="n">
        <v>2</v>
      </c>
      <c r="G26" s="4" t="n">
        <v>83</v>
      </c>
      <c r="H26" s="4" t="n">
        <v>306</v>
      </c>
      <c r="I26" s="4" t="n">
        <v>1.77</v>
      </c>
      <c r="J26" s="4" t="s">
        <v>139</v>
      </c>
    </row>
    <row r="27" customFormat="false" ht="15" hidden="false" customHeight="false" outlineLevel="0" collapsed="false">
      <c r="A27" s="4" t="s">
        <v>140</v>
      </c>
      <c r="B27" s="4" t="s">
        <v>141</v>
      </c>
      <c r="C27" s="4" t="s">
        <v>142</v>
      </c>
      <c r="D27" s="4" t="s">
        <v>134</v>
      </c>
      <c r="E27" s="4" t="s">
        <v>135</v>
      </c>
      <c r="F27" s="4" t="n">
        <v>1</v>
      </c>
      <c r="G27" s="4" t="n">
        <v>42</v>
      </c>
      <c r="H27" s="4" t="n">
        <v>30</v>
      </c>
      <c r="I27" s="4" t="n">
        <v>1.67</v>
      </c>
      <c r="J27" s="4" t="s">
        <v>143</v>
      </c>
    </row>
    <row r="28" customFormat="false" ht="23.85" hidden="false" customHeight="false" outlineLevel="0" collapsed="false">
      <c r="A28" s="4" t="s">
        <v>144</v>
      </c>
      <c r="B28" s="4" t="s">
        <v>132</v>
      </c>
      <c r="C28" s="4" t="s">
        <v>145</v>
      </c>
      <c r="D28" s="4" t="s">
        <v>146</v>
      </c>
      <c r="E28" s="4" t="s">
        <v>147</v>
      </c>
      <c r="F28" s="4" t="n">
        <v>3</v>
      </c>
      <c r="G28" s="4" t="n">
        <v>125</v>
      </c>
      <c r="H28" s="4" t="n">
        <v>153</v>
      </c>
      <c r="I28" s="4" t="n">
        <v>4.86</v>
      </c>
      <c r="J28" s="4" t="s">
        <v>148</v>
      </c>
    </row>
    <row r="29" customFormat="false" ht="23.85" hidden="false" customHeight="false" outlineLevel="0" collapsed="false">
      <c r="A29" s="4" t="s">
        <v>149</v>
      </c>
      <c r="B29" s="4" t="s">
        <v>132</v>
      </c>
      <c r="C29" s="4" t="s">
        <v>150</v>
      </c>
      <c r="D29" s="4" t="s">
        <v>151</v>
      </c>
      <c r="E29" s="4" t="s">
        <v>147</v>
      </c>
      <c r="F29" s="4" t="n">
        <v>6</v>
      </c>
      <c r="G29" s="4" t="n">
        <v>250</v>
      </c>
      <c r="H29" s="4" t="n">
        <v>619</v>
      </c>
      <c r="I29" s="4" t="n">
        <v>6.95</v>
      </c>
      <c r="J29" s="4" t="s">
        <v>152</v>
      </c>
    </row>
    <row r="31" customFormat="false" ht="15" hidden="false" customHeight="false" outlineLevel="0" collapsed="false">
      <c r="A31" s="9" t="s">
        <v>81</v>
      </c>
    </row>
    <row r="32" customFormat="false" ht="15" hidden="false" customHeight="false" outlineLevel="0" collapsed="false">
      <c r="A32" s="2" t="s">
        <v>153</v>
      </c>
    </row>
    <row r="33" customFormat="false" ht="15" hidden="false" customHeight="false" outlineLevel="0" collapsed="false">
      <c r="A33" s="2" t="s">
        <v>154</v>
      </c>
    </row>
    <row r="34" customFormat="false" ht="15" hidden="false" customHeight="false" outlineLevel="0" collapsed="false">
      <c r="A34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true" outlineLevel="0" collapsed="false">
      <c r="A2" s="6" t="s">
        <v>156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49</v>
      </c>
      <c r="B24" s="7" t="s">
        <v>157</v>
      </c>
      <c r="C24" s="7" t="s">
        <v>125</v>
      </c>
      <c r="D24" s="7" t="s">
        <v>158</v>
      </c>
      <c r="E24" s="7" t="s">
        <v>159</v>
      </c>
      <c r="F24" s="7" t="s">
        <v>160</v>
      </c>
      <c r="G24" s="7" t="s">
        <v>161</v>
      </c>
      <c r="H24" s="7" t="s">
        <v>57</v>
      </c>
      <c r="I24" s="7" t="s">
        <v>130</v>
      </c>
      <c r="J24" s="7" t="s">
        <v>60</v>
      </c>
    </row>
    <row r="25" customFormat="false" ht="23.85" hidden="false" customHeight="false" outlineLevel="0" collapsed="false">
      <c r="A25" s="8" t="s">
        <v>162</v>
      </c>
      <c r="B25" s="8" t="s">
        <v>163</v>
      </c>
      <c r="C25" s="8" t="s">
        <v>164</v>
      </c>
      <c r="D25" s="8" t="n">
        <v>5.08</v>
      </c>
      <c r="E25" s="8" t="n">
        <v>300</v>
      </c>
      <c r="F25" s="8" t="s">
        <v>135</v>
      </c>
      <c r="G25" s="8" t="s">
        <v>135</v>
      </c>
      <c r="H25" s="8" t="n">
        <v>9605</v>
      </c>
      <c r="I25" s="8" t="n">
        <v>0.33</v>
      </c>
      <c r="J25" s="8" t="s">
        <v>165</v>
      </c>
    </row>
    <row r="26" customFormat="false" ht="23.85" hidden="false" customHeight="false" outlineLevel="0" collapsed="false">
      <c r="A26" s="8" t="s">
        <v>166</v>
      </c>
      <c r="B26" s="8" t="s">
        <v>167</v>
      </c>
      <c r="C26" s="8" t="s">
        <v>168</v>
      </c>
      <c r="D26" s="8" t="n">
        <v>5.08</v>
      </c>
      <c r="E26" s="8" t="n">
        <v>250</v>
      </c>
      <c r="F26" s="8" t="s">
        <v>135</v>
      </c>
      <c r="G26" s="8" t="s">
        <v>135</v>
      </c>
      <c r="H26" s="8" t="n">
        <v>62880</v>
      </c>
      <c r="I26" s="8" t="n">
        <v>0.19</v>
      </c>
      <c r="J26" s="8" t="s">
        <v>169</v>
      </c>
    </row>
    <row r="27" customFormat="false" ht="15" hidden="false" customHeight="false" outlineLevel="0" collapsed="false">
      <c r="A27" s="4" t="s">
        <v>170</v>
      </c>
      <c r="B27" s="4" t="s">
        <v>171</v>
      </c>
      <c r="C27" s="4" t="s">
        <v>172</v>
      </c>
      <c r="D27" s="4" t="n">
        <v>3</v>
      </c>
      <c r="E27" s="4" t="n">
        <v>600</v>
      </c>
      <c r="F27" s="4" t="s">
        <v>147</v>
      </c>
      <c r="G27" s="4" t="s">
        <v>147</v>
      </c>
      <c r="H27" s="4" t="n">
        <v>7975</v>
      </c>
      <c r="I27" s="4" t="n">
        <v>0.53</v>
      </c>
      <c r="J27" s="4" t="s">
        <v>173</v>
      </c>
    </row>
    <row r="28" customFormat="false" ht="15" hidden="false" customHeight="false" outlineLevel="0" collapsed="false">
      <c r="A28" s="4" t="s">
        <v>174</v>
      </c>
      <c r="B28" s="4" t="s">
        <v>171</v>
      </c>
      <c r="C28" s="4" t="s">
        <v>175</v>
      </c>
      <c r="D28" s="4" t="n">
        <v>3</v>
      </c>
      <c r="E28" s="4" t="n">
        <v>600</v>
      </c>
      <c r="F28" s="4" t="s">
        <v>147</v>
      </c>
      <c r="G28" s="4" t="s">
        <v>147</v>
      </c>
      <c r="H28" s="4" t="n">
        <v>2245</v>
      </c>
      <c r="I28" s="4" t="n">
        <v>0.48</v>
      </c>
      <c r="J28" s="4" t="s">
        <v>176</v>
      </c>
    </row>
    <row r="29" customFormat="false" ht="15" hidden="false" customHeight="false" outlineLevel="0" collapsed="false">
      <c r="A29" s="4" t="s">
        <v>177</v>
      </c>
      <c r="B29" s="4" t="s">
        <v>178</v>
      </c>
      <c r="C29" s="4" t="s">
        <v>179</v>
      </c>
      <c r="D29" s="4" t="n">
        <v>2.5</v>
      </c>
      <c r="E29" s="4"/>
      <c r="F29" s="4" t="s">
        <v>180</v>
      </c>
      <c r="G29" s="4" t="s">
        <v>147</v>
      </c>
      <c r="H29" s="4" t="n">
        <v>24035</v>
      </c>
      <c r="I29" s="4" t="n">
        <v>0.25</v>
      </c>
      <c r="J29" s="4" t="s">
        <v>181</v>
      </c>
    </row>
    <row r="31" customFormat="false" ht="15" hidden="false" customHeight="false" outlineLevel="0" collapsed="false">
      <c r="A31" s="9" t="s">
        <v>81</v>
      </c>
    </row>
    <row r="32" customFormat="false" ht="15" hidden="false" customHeight="false" outlineLevel="0" collapsed="false">
      <c r="A32" s="2" t="s">
        <v>182</v>
      </c>
    </row>
    <row r="33" customFormat="false" ht="15" hidden="false" customHeight="false" outlineLevel="0" collapsed="false">
      <c r="A33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true" outlineLevel="0" collapsed="false">
      <c r="A2" s="6" t="s">
        <v>184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42" hidden="false" customHeight="true" outlineLevel="0" collapsed="false">
      <c r="A24" s="7" t="s">
        <v>49</v>
      </c>
      <c r="B24" s="7" t="s">
        <v>50</v>
      </c>
      <c r="C24" s="7" t="s">
        <v>125</v>
      </c>
      <c r="D24" s="7" t="s">
        <v>185</v>
      </c>
      <c r="E24" s="7" t="s">
        <v>186</v>
      </c>
      <c r="F24" s="7" t="s">
        <v>187</v>
      </c>
      <c r="G24" s="7" t="s">
        <v>57</v>
      </c>
      <c r="H24" s="7" t="s">
        <v>130</v>
      </c>
      <c r="I24" s="7" t="s">
        <v>60</v>
      </c>
    </row>
    <row r="25" customFormat="false" ht="23.85" hidden="false" customHeight="false" outlineLevel="0" collapsed="false">
      <c r="A25" s="8" t="s">
        <v>188</v>
      </c>
      <c r="B25" s="8" t="s">
        <v>189</v>
      </c>
      <c r="C25" s="8" t="s">
        <v>190</v>
      </c>
      <c r="D25" s="8" t="s">
        <v>191</v>
      </c>
      <c r="E25" s="8" t="n">
        <v>195</v>
      </c>
      <c r="F25" s="8" t="s">
        <v>192</v>
      </c>
      <c r="G25" s="8" t="n">
        <v>2988604</v>
      </c>
      <c r="H25" s="8" t="n">
        <v>0.0135</v>
      </c>
      <c r="I25" s="8" t="s">
        <v>193</v>
      </c>
    </row>
    <row r="26" customFormat="false" ht="15" hidden="false" customHeight="false" outlineLevel="0" collapsed="false">
      <c r="A26" s="4" t="s">
        <v>194</v>
      </c>
      <c r="B26" s="4" t="s">
        <v>41</v>
      </c>
      <c r="C26" s="4" t="s">
        <v>195</v>
      </c>
      <c r="D26" s="4" t="s">
        <v>196</v>
      </c>
      <c r="E26" s="4" t="n">
        <v>120</v>
      </c>
      <c r="F26" s="4" t="s">
        <v>197</v>
      </c>
      <c r="G26" s="4" t="n">
        <v>788877</v>
      </c>
      <c r="H26" s="4" t="n">
        <v>0.015</v>
      </c>
      <c r="I26" s="4" t="s">
        <v>198</v>
      </c>
    </row>
    <row r="27" customFormat="false" ht="15" hidden="false" customHeight="false" outlineLevel="0" collapsed="false">
      <c r="A27" s="4" t="s">
        <v>36</v>
      </c>
      <c r="B27" s="4" t="s">
        <v>199</v>
      </c>
      <c r="C27" s="4" t="s">
        <v>200</v>
      </c>
      <c r="D27" s="4" t="s">
        <v>196</v>
      </c>
      <c r="E27" s="4" t="n">
        <v>210</v>
      </c>
      <c r="F27" s="4" t="s">
        <v>201</v>
      </c>
      <c r="G27" s="4" t="n">
        <v>96010</v>
      </c>
      <c r="H27" s="4" t="n">
        <v>0.0105</v>
      </c>
      <c r="I27" s="4" t="s">
        <v>198</v>
      </c>
    </row>
    <row r="28" customFormat="false" ht="15" hidden="false" customHeight="false" outlineLevel="0" collapsed="false">
      <c r="A28" s="4" t="s">
        <v>202</v>
      </c>
      <c r="B28" s="4" t="s">
        <v>203</v>
      </c>
      <c r="C28" s="4" t="s">
        <v>204</v>
      </c>
      <c r="D28" s="4" t="s">
        <v>196</v>
      </c>
      <c r="E28" s="4" t="n">
        <v>54</v>
      </c>
      <c r="F28" s="4" t="s">
        <v>205</v>
      </c>
      <c r="G28" s="4" t="n">
        <v>113458</v>
      </c>
      <c r="H28" s="4" t="n">
        <v>0.028</v>
      </c>
      <c r="I28" s="4" t="s">
        <v>206</v>
      </c>
    </row>
    <row r="30" customFormat="false" ht="15" hidden="false" customHeight="false" outlineLevel="0" collapsed="false">
      <c r="A30" s="9" t="s">
        <v>81</v>
      </c>
    </row>
    <row r="31" customFormat="false" ht="15" hidden="false" customHeight="false" outlineLevel="0" collapsed="false">
      <c r="A31" s="2" t="s">
        <v>207</v>
      </c>
    </row>
    <row r="32" customFormat="false" ht="15" hidden="false" customHeight="false" outlineLevel="0" collapsed="false">
      <c r="A32" s="2" t="s">
        <v>84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true" outlineLevel="0" collapsed="false">
      <c r="A2" s="6" t="s">
        <v>209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24" customFormat="false" ht="23.85" hidden="false" customHeight="false" outlineLevel="0" collapsed="false">
      <c r="A24" s="10" t="s">
        <v>106</v>
      </c>
      <c r="B24" s="10" t="s">
        <v>210</v>
      </c>
      <c r="C24" s="10" t="s">
        <v>211</v>
      </c>
      <c r="D24" s="10" t="s">
        <v>212</v>
      </c>
      <c r="E24" s="10" t="s">
        <v>213</v>
      </c>
    </row>
    <row r="25" customFormat="false" ht="15" hidden="false" customHeight="false" outlineLevel="0" collapsed="false">
      <c r="A25" s="4" t="s">
        <v>214</v>
      </c>
      <c r="B25" s="4" t="n">
        <v>75</v>
      </c>
      <c r="C25" s="4" t="n">
        <v>0.1</v>
      </c>
      <c r="D25" s="4" t="s">
        <v>215</v>
      </c>
      <c r="E25" s="11" t="n">
        <f aca="false">COUNTIF($C$34:$C$85,A25)</f>
        <v>27</v>
      </c>
    </row>
    <row r="26" customFormat="false" ht="15" hidden="false" customHeight="false" outlineLevel="0" collapsed="false">
      <c r="A26" s="4" t="s">
        <v>216</v>
      </c>
      <c r="B26" s="4" t="n">
        <v>150</v>
      </c>
      <c r="C26" s="4" t="n">
        <v>0.125</v>
      </c>
      <c r="D26" s="4" t="s">
        <v>217</v>
      </c>
      <c r="E26" s="11" t="n">
        <f aca="false">COUNTIF($C$34:$C$85,A26)</f>
        <v>10</v>
      </c>
    </row>
    <row r="27" customFormat="false" ht="15" hidden="false" customHeight="false" outlineLevel="0" collapsed="false">
      <c r="A27" s="4" t="s">
        <v>218</v>
      </c>
      <c r="B27" s="4" t="n">
        <v>200</v>
      </c>
      <c r="C27" s="4" t="n">
        <v>0.25</v>
      </c>
      <c r="D27" s="4" t="s">
        <v>219</v>
      </c>
      <c r="E27" s="11" t="n">
        <f aca="false">COUNTIF($C$34:$C$85,A27)</f>
        <v>11</v>
      </c>
    </row>
    <row r="28" customFormat="false" ht="15" hidden="false" customHeight="false" outlineLevel="0" collapsed="false">
      <c r="A28" s="4" t="s">
        <v>220</v>
      </c>
      <c r="B28" s="4"/>
      <c r="C28" s="4"/>
      <c r="D28" s="4" t="s">
        <v>221</v>
      </c>
      <c r="E28" s="11" t="n">
        <f aca="false">COUNTIF($C$34:$C$85,A28)</f>
        <v>2</v>
      </c>
    </row>
    <row r="29" customFormat="false" ht="15" hidden="false" customHeight="false" outlineLevel="0" collapsed="false">
      <c r="A29" s="4" t="s">
        <v>222</v>
      </c>
      <c r="B29" s="4" t="n">
        <v>200</v>
      </c>
      <c r="C29" s="4" t="n">
        <v>1</v>
      </c>
      <c r="D29" s="4" t="s">
        <v>223</v>
      </c>
      <c r="E29" s="11" t="n">
        <f aca="false">COUNTIF($C$34:$C$85,A29)</f>
        <v>2</v>
      </c>
    </row>
    <row r="30" customFormat="false" ht="15" hidden="false" customHeight="false" outlineLevel="0" collapsed="false">
      <c r="A30" s="2" t="s">
        <v>224</v>
      </c>
    </row>
    <row r="33" customFormat="false" ht="15" hidden="false" customHeight="false" outlineLevel="0" collapsed="false">
      <c r="A33" s="3" t="s">
        <v>225</v>
      </c>
      <c r="B33" s="3" t="s">
        <v>226</v>
      </c>
      <c r="C33" s="3" t="s">
        <v>106</v>
      </c>
      <c r="D33" s="3" t="s">
        <v>125</v>
      </c>
      <c r="E33" s="3" t="s">
        <v>227</v>
      </c>
    </row>
    <row r="34" customFormat="false" ht="15" hidden="false" customHeight="false" outlineLevel="0" collapsed="false">
      <c r="A34" s="11" t="s">
        <v>228</v>
      </c>
      <c r="B34" s="11" t="s">
        <v>229</v>
      </c>
      <c r="C34" s="11" t="s">
        <v>214</v>
      </c>
      <c r="D34" s="11" t="s">
        <v>230</v>
      </c>
      <c r="E34" s="11"/>
    </row>
    <row r="35" customFormat="false" ht="15" hidden="false" customHeight="false" outlineLevel="0" collapsed="false">
      <c r="A35" s="11" t="s">
        <v>231</v>
      </c>
      <c r="B35" s="11" t="s">
        <v>232</v>
      </c>
      <c r="C35" s="11" t="s">
        <v>214</v>
      </c>
      <c r="D35" s="11" t="s">
        <v>233</v>
      </c>
      <c r="E35" s="11" t="s">
        <v>234</v>
      </c>
    </row>
    <row r="36" customFormat="false" ht="15" hidden="false" customHeight="false" outlineLevel="0" collapsed="false">
      <c r="A36" s="11" t="s">
        <v>235</v>
      </c>
      <c r="B36" s="11" t="s">
        <v>232</v>
      </c>
      <c r="C36" s="11" t="s">
        <v>214</v>
      </c>
      <c r="D36" s="11" t="s">
        <v>233</v>
      </c>
      <c r="E36" s="11" t="s">
        <v>234</v>
      </c>
    </row>
    <row r="37" customFormat="false" ht="15" hidden="false" customHeight="false" outlineLevel="0" collapsed="false">
      <c r="A37" s="11" t="s">
        <v>236</v>
      </c>
      <c r="B37" s="11" t="s">
        <v>237</v>
      </c>
      <c r="C37" s="11" t="s">
        <v>214</v>
      </c>
      <c r="D37" s="11" t="s">
        <v>238</v>
      </c>
      <c r="E37" s="11"/>
    </row>
    <row r="38" customFormat="false" ht="15" hidden="false" customHeight="false" outlineLevel="0" collapsed="false">
      <c r="A38" s="11" t="s">
        <v>239</v>
      </c>
      <c r="B38" s="11" t="s">
        <v>237</v>
      </c>
      <c r="C38" s="11" t="s">
        <v>214</v>
      </c>
      <c r="D38" s="11" t="s">
        <v>238</v>
      </c>
      <c r="E38" s="11"/>
    </row>
    <row r="39" customFormat="false" ht="15" hidden="false" customHeight="false" outlineLevel="0" collapsed="false">
      <c r="A39" s="11" t="s">
        <v>240</v>
      </c>
      <c r="B39" s="11" t="s">
        <v>232</v>
      </c>
      <c r="C39" s="11" t="s">
        <v>214</v>
      </c>
      <c r="D39" s="11" t="s">
        <v>233</v>
      </c>
      <c r="E39" s="11" t="s">
        <v>241</v>
      </c>
    </row>
    <row r="40" customFormat="false" ht="15" hidden="false" customHeight="false" outlineLevel="0" collapsed="false">
      <c r="A40" s="11" t="s">
        <v>242</v>
      </c>
      <c r="B40" s="11" t="s">
        <v>232</v>
      </c>
      <c r="C40" s="11" t="s">
        <v>214</v>
      </c>
      <c r="D40" s="11" t="s">
        <v>233</v>
      </c>
      <c r="E40" s="11" t="s">
        <v>243</v>
      </c>
    </row>
    <row r="41" customFormat="false" ht="15" hidden="false" customHeight="false" outlineLevel="0" collapsed="false">
      <c r="A41" s="11" t="s">
        <v>244</v>
      </c>
      <c r="B41" s="11" t="s">
        <v>232</v>
      </c>
      <c r="C41" s="11" t="s">
        <v>214</v>
      </c>
      <c r="D41" s="11" t="s">
        <v>233</v>
      </c>
      <c r="E41" s="11" t="s">
        <v>243</v>
      </c>
    </row>
    <row r="42" customFormat="false" ht="15" hidden="false" customHeight="false" outlineLevel="0" collapsed="false">
      <c r="A42" s="11" t="s">
        <v>245</v>
      </c>
      <c r="B42" s="11" t="s">
        <v>246</v>
      </c>
      <c r="C42" s="11" t="s">
        <v>214</v>
      </c>
      <c r="D42" s="11" t="s">
        <v>247</v>
      </c>
      <c r="E42" s="11" t="s">
        <v>248</v>
      </c>
    </row>
    <row r="43" customFormat="false" ht="15" hidden="false" customHeight="false" outlineLevel="0" collapsed="false">
      <c r="A43" s="11" t="s">
        <v>249</v>
      </c>
      <c r="B43" s="11" t="s">
        <v>250</v>
      </c>
      <c r="C43" s="11" t="s">
        <v>214</v>
      </c>
      <c r="D43" s="11" t="s">
        <v>251</v>
      </c>
      <c r="E43" s="11"/>
    </row>
    <row r="44" customFormat="false" ht="15" hidden="false" customHeight="false" outlineLevel="0" collapsed="false">
      <c r="A44" s="11" t="s">
        <v>252</v>
      </c>
      <c r="B44" s="11" t="s">
        <v>253</v>
      </c>
      <c r="C44" s="11" t="s">
        <v>214</v>
      </c>
      <c r="D44" s="11" t="s">
        <v>254</v>
      </c>
      <c r="E44" s="11"/>
    </row>
    <row r="45" customFormat="false" ht="15" hidden="false" customHeight="false" outlineLevel="0" collapsed="false">
      <c r="A45" s="11" t="s">
        <v>255</v>
      </c>
      <c r="B45" s="11" t="s">
        <v>250</v>
      </c>
      <c r="C45" s="11" t="s">
        <v>214</v>
      </c>
      <c r="D45" s="11" t="s">
        <v>251</v>
      </c>
      <c r="E45" s="11"/>
    </row>
    <row r="46" customFormat="false" ht="15" hidden="false" customHeight="false" outlineLevel="0" collapsed="false">
      <c r="A46" s="11" t="s">
        <v>256</v>
      </c>
      <c r="B46" s="11" t="s">
        <v>253</v>
      </c>
      <c r="C46" s="11" t="s">
        <v>214</v>
      </c>
      <c r="D46" s="11" t="s">
        <v>254</v>
      </c>
      <c r="E46" s="11"/>
    </row>
    <row r="47" customFormat="false" ht="15" hidden="false" customHeight="false" outlineLevel="0" collapsed="false">
      <c r="A47" s="11" t="s">
        <v>257</v>
      </c>
      <c r="B47" s="11" t="s">
        <v>258</v>
      </c>
      <c r="C47" s="11" t="s">
        <v>214</v>
      </c>
      <c r="D47" s="11" t="s">
        <v>259</v>
      </c>
      <c r="E47" s="11" t="s">
        <v>260</v>
      </c>
    </row>
    <row r="48" customFormat="false" ht="15" hidden="false" customHeight="false" outlineLevel="0" collapsed="false">
      <c r="A48" s="11" t="s">
        <v>261</v>
      </c>
      <c r="B48" s="11" t="s">
        <v>262</v>
      </c>
      <c r="C48" s="11" t="s">
        <v>214</v>
      </c>
      <c r="D48" s="11" t="s">
        <v>263</v>
      </c>
      <c r="E48" s="11" t="s">
        <v>264</v>
      </c>
    </row>
    <row r="49" customFormat="false" ht="15" hidden="false" customHeight="false" outlineLevel="0" collapsed="false">
      <c r="A49" s="11" t="s">
        <v>265</v>
      </c>
      <c r="B49" s="11" t="s">
        <v>253</v>
      </c>
      <c r="C49" s="11" t="s">
        <v>214</v>
      </c>
      <c r="D49" s="11" t="s">
        <v>254</v>
      </c>
      <c r="E49" s="11" t="s">
        <v>266</v>
      </c>
    </row>
    <row r="50" customFormat="false" ht="15" hidden="false" customHeight="false" outlineLevel="0" collapsed="false">
      <c r="A50" s="11" t="s">
        <v>267</v>
      </c>
      <c r="B50" s="11" t="s">
        <v>268</v>
      </c>
      <c r="C50" s="11" t="s">
        <v>214</v>
      </c>
      <c r="D50" s="11" t="s">
        <v>269</v>
      </c>
      <c r="E50" s="11" t="s">
        <v>270</v>
      </c>
    </row>
    <row r="51" customFormat="false" ht="15" hidden="false" customHeight="false" outlineLevel="0" collapsed="false">
      <c r="A51" s="11" t="s">
        <v>271</v>
      </c>
      <c r="B51" s="11" t="s">
        <v>268</v>
      </c>
      <c r="C51" s="11" t="s">
        <v>214</v>
      </c>
      <c r="D51" s="11" t="s">
        <v>269</v>
      </c>
      <c r="E51" s="11" t="s">
        <v>270</v>
      </c>
    </row>
    <row r="52" customFormat="false" ht="15" hidden="false" customHeight="false" outlineLevel="0" collapsed="false">
      <c r="A52" s="11" t="s">
        <v>272</v>
      </c>
      <c r="B52" s="11" t="s">
        <v>268</v>
      </c>
      <c r="C52" s="11" t="s">
        <v>214</v>
      </c>
      <c r="D52" s="11" t="s">
        <v>269</v>
      </c>
      <c r="E52" s="11" t="s">
        <v>270</v>
      </c>
    </row>
    <row r="53" customFormat="false" ht="15" hidden="false" customHeight="false" outlineLevel="0" collapsed="false">
      <c r="A53" s="11" t="s">
        <v>273</v>
      </c>
      <c r="B53" s="11" t="s">
        <v>274</v>
      </c>
      <c r="C53" s="11" t="s">
        <v>214</v>
      </c>
      <c r="D53" s="11" t="s">
        <v>275</v>
      </c>
      <c r="E53" s="11" t="s">
        <v>276</v>
      </c>
    </row>
    <row r="54" customFormat="false" ht="15" hidden="false" customHeight="false" outlineLevel="0" collapsed="false">
      <c r="A54" s="11" t="s">
        <v>277</v>
      </c>
      <c r="B54" s="11" t="s">
        <v>278</v>
      </c>
      <c r="C54" s="11" t="s">
        <v>214</v>
      </c>
      <c r="D54" s="11" t="s">
        <v>279</v>
      </c>
      <c r="E54" s="11" t="s">
        <v>280</v>
      </c>
    </row>
    <row r="55" customFormat="false" ht="15" hidden="false" customHeight="false" outlineLevel="0" collapsed="false">
      <c r="A55" s="11" t="s">
        <v>281</v>
      </c>
      <c r="B55" s="11" t="s">
        <v>282</v>
      </c>
      <c r="C55" s="11" t="s">
        <v>214</v>
      </c>
      <c r="D55" s="11" t="s">
        <v>283</v>
      </c>
      <c r="E55" s="11" t="s">
        <v>284</v>
      </c>
    </row>
    <row r="56" customFormat="false" ht="15" hidden="false" customHeight="false" outlineLevel="0" collapsed="false">
      <c r="A56" s="11" t="s">
        <v>285</v>
      </c>
      <c r="B56" s="11" t="s">
        <v>282</v>
      </c>
      <c r="C56" s="11" t="s">
        <v>214</v>
      </c>
      <c r="D56" s="11" t="s">
        <v>283</v>
      </c>
      <c r="E56" s="11" t="s">
        <v>286</v>
      </c>
    </row>
    <row r="57" customFormat="false" ht="15" hidden="false" customHeight="false" outlineLevel="0" collapsed="false">
      <c r="A57" s="11" t="s">
        <v>287</v>
      </c>
      <c r="B57" s="11" t="s">
        <v>282</v>
      </c>
      <c r="C57" s="11" t="s">
        <v>214</v>
      </c>
      <c r="D57" s="11" t="s">
        <v>283</v>
      </c>
      <c r="E57" s="11" t="s">
        <v>286</v>
      </c>
    </row>
    <row r="58" customFormat="false" ht="15" hidden="false" customHeight="false" outlineLevel="0" collapsed="false">
      <c r="A58" s="11" t="s">
        <v>288</v>
      </c>
      <c r="B58" s="11" t="s">
        <v>282</v>
      </c>
      <c r="C58" s="11" t="s">
        <v>214</v>
      </c>
      <c r="D58" s="11" t="s">
        <v>283</v>
      </c>
      <c r="E58" s="11" t="s">
        <v>286</v>
      </c>
    </row>
    <row r="59" customFormat="false" ht="15" hidden="false" customHeight="false" outlineLevel="0" collapsed="false">
      <c r="A59" s="11" t="s">
        <v>289</v>
      </c>
      <c r="B59" s="11" t="s">
        <v>268</v>
      </c>
      <c r="C59" s="11" t="s">
        <v>214</v>
      </c>
      <c r="D59" s="11" t="s">
        <v>269</v>
      </c>
      <c r="E59" s="11" t="s">
        <v>290</v>
      </c>
    </row>
    <row r="60" customFormat="false" ht="15" hidden="false" customHeight="false" outlineLevel="0" collapsed="false">
      <c r="A60" s="11" t="s">
        <v>291</v>
      </c>
      <c r="B60" s="11" t="s">
        <v>292</v>
      </c>
      <c r="C60" s="11" t="s">
        <v>214</v>
      </c>
      <c r="D60" s="11" t="s">
        <v>293</v>
      </c>
      <c r="E60" s="11" t="s">
        <v>294</v>
      </c>
    </row>
    <row r="61" customFormat="false" ht="15" hidden="false" customHeight="false" outlineLevel="0" collapsed="false">
      <c r="A61" s="11" t="s">
        <v>295</v>
      </c>
      <c r="B61" s="11" t="s">
        <v>296</v>
      </c>
      <c r="C61" s="11" t="s">
        <v>216</v>
      </c>
      <c r="D61" s="11" t="s">
        <v>297</v>
      </c>
      <c r="E61" s="11"/>
    </row>
    <row r="62" customFormat="false" ht="15" hidden="false" customHeight="false" outlineLevel="0" collapsed="false">
      <c r="A62" s="11" t="s">
        <v>298</v>
      </c>
      <c r="B62" s="11" t="s">
        <v>296</v>
      </c>
      <c r="C62" s="11" t="s">
        <v>216</v>
      </c>
      <c r="D62" s="11" t="s">
        <v>297</v>
      </c>
      <c r="E62" s="11"/>
    </row>
    <row r="63" customFormat="false" ht="15" hidden="false" customHeight="false" outlineLevel="0" collapsed="false">
      <c r="A63" s="11" t="s">
        <v>299</v>
      </c>
      <c r="B63" s="11" t="s">
        <v>296</v>
      </c>
      <c r="C63" s="11" t="s">
        <v>216</v>
      </c>
      <c r="D63" s="11" t="s">
        <v>297</v>
      </c>
      <c r="E63" s="11"/>
    </row>
    <row r="64" customFormat="false" ht="15" hidden="false" customHeight="false" outlineLevel="0" collapsed="false">
      <c r="A64" s="11" t="s">
        <v>300</v>
      </c>
      <c r="B64" s="11" t="s">
        <v>296</v>
      </c>
      <c r="C64" s="11" t="s">
        <v>216</v>
      </c>
      <c r="D64" s="11" t="s">
        <v>297</v>
      </c>
      <c r="E64" s="11"/>
    </row>
    <row r="65" customFormat="false" ht="15" hidden="false" customHeight="false" outlineLevel="0" collapsed="false">
      <c r="A65" s="11" t="s">
        <v>301</v>
      </c>
      <c r="B65" s="11" t="s">
        <v>296</v>
      </c>
      <c r="C65" s="11" t="s">
        <v>216</v>
      </c>
      <c r="D65" s="11" t="s">
        <v>297</v>
      </c>
      <c r="E65" s="11" t="s">
        <v>302</v>
      </c>
    </row>
    <row r="66" customFormat="false" ht="15" hidden="false" customHeight="false" outlineLevel="0" collapsed="false">
      <c r="A66" s="11" t="s">
        <v>303</v>
      </c>
      <c r="B66" s="11" t="s">
        <v>304</v>
      </c>
      <c r="C66" s="11" t="s">
        <v>216</v>
      </c>
      <c r="D66" s="11" t="s">
        <v>305</v>
      </c>
      <c r="E66" s="11" t="s">
        <v>306</v>
      </c>
    </row>
    <row r="67" customFormat="false" ht="15" hidden="false" customHeight="false" outlineLevel="0" collapsed="false">
      <c r="A67" s="11" t="s">
        <v>307</v>
      </c>
      <c r="B67" s="11" t="s">
        <v>304</v>
      </c>
      <c r="C67" s="11" t="s">
        <v>216</v>
      </c>
      <c r="D67" s="11" t="s">
        <v>305</v>
      </c>
      <c r="E67" s="11" t="s">
        <v>306</v>
      </c>
    </row>
    <row r="68" customFormat="false" ht="15" hidden="false" customHeight="false" outlineLevel="0" collapsed="false">
      <c r="A68" s="11" t="s">
        <v>308</v>
      </c>
      <c r="B68" s="11" t="s">
        <v>309</v>
      </c>
      <c r="C68" s="11" t="s">
        <v>216</v>
      </c>
      <c r="D68" s="11" t="s">
        <v>310</v>
      </c>
      <c r="E68" s="11" t="s">
        <v>311</v>
      </c>
    </row>
    <row r="69" customFormat="false" ht="15" hidden="false" customHeight="false" outlineLevel="0" collapsed="false">
      <c r="A69" s="11" t="s">
        <v>312</v>
      </c>
      <c r="B69" s="11" t="s">
        <v>309</v>
      </c>
      <c r="C69" s="11" t="s">
        <v>216</v>
      </c>
      <c r="D69" s="11" t="s">
        <v>310</v>
      </c>
      <c r="E69" s="11" t="s">
        <v>313</v>
      </c>
    </row>
    <row r="70" customFormat="false" ht="15" hidden="false" customHeight="false" outlineLevel="0" collapsed="false">
      <c r="A70" s="11" t="s">
        <v>314</v>
      </c>
      <c r="B70" s="11" t="s">
        <v>315</v>
      </c>
      <c r="C70" s="11" t="s">
        <v>216</v>
      </c>
      <c r="D70" s="11"/>
      <c r="E70" s="11" t="s">
        <v>316</v>
      </c>
    </row>
    <row r="71" customFormat="false" ht="15" hidden="false" customHeight="false" outlineLevel="0" collapsed="false">
      <c r="A71" s="11" t="s">
        <v>317</v>
      </c>
      <c r="B71" s="11" t="s">
        <v>318</v>
      </c>
      <c r="C71" s="11" t="s">
        <v>218</v>
      </c>
      <c r="D71" s="11" t="s">
        <v>319</v>
      </c>
      <c r="E71" s="11" t="s">
        <v>320</v>
      </c>
    </row>
    <row r="72" customFormat="false" ht="15" hidden="false" customHeight="false" outlineLevel="0" collapsed="false">
      <c r="A72" s="11" t="s">
        <v>321</v>
      </c>
      <c r="B72" s="11" t="s">
        <v>322</v>
      </c>
      <c r="C72" s="11" t="s">
        <v>218</v>
      </c>
      <c r="D72" s="11" t="s">
        <v>323</v>
      </c>
      <c r="E72" s="11"/>
    </row>
    <row r="73" customFormat="false" ht="15" hidden="false" customHeight="false" outlineLevel="0" collapsed="false">
      <c r="A73" s="11" t="s">
        <v>324</v>
      </c>
      <c r="B73" s="11" t="s">
        <v>322</v>
      </c>
      <c r="C73" s="11" t="s">
        <v>218</v>
      </c>
      <c r="D73" s="11" t="s">
        <v>323</v>
      </c>
      <c r="E73" s="11"/>
    </row>
    <row r="74" customFormat="false" ht="15" hidden="false" customHeight="false" outlineLevel="0" collapsed="false">
      <c r="A74" s="11" t="s">
        <v>325</v>
      </c>
      <c r="B74" s="11" t="s">
        <v>326</v>
      </c>
      <c r="C74" s="11" t="s">
        <v>218</v>
      </c>
      <c r="D74" s="11" t="s">
        <v>327</v>
      </c>
      <c r="E74" s="11" t="s">
        <v>328</v>
      </c>
    </row>
    <row r="75" customFormat="false" ht="15" hidden="false" customHeight="false" outlineLevel="0" collapsed="false">
      <c r="A75" s="11" t="s">
        <v>329</v>
      </c>
      <c r="B75" s="11" t="s">
        <v>326</v>
      </c>
      <c r="C75" s="11" t="s">
        <v>218</v>
      </c>
      <c r="D75" s="11" t="s">
        <v>327</v>
      </c>
      <c r="E75" s="11"/>
    </row>
    <row r="76" customFormat="false" ht="15" hidden="false" customHeight="false" outlineLevel="0" collapsed="false">
      <c r="A76" s="11" t="s">
        <v>330</v>
      </c>
      <c r="B76" s="11" t="s">
        <v>331</v>
      </c>
      <c r="C76" s="11" t="s">
        <v>218</v>
      </c>
      <c r="D76" s="11" t="s">
        <v>332</v>
      </c>
      <c r="E76" s="11" t="s">
        <v>333</v>
      </c>
    </row>
    <row r="77" customFormat="false" ht="15" hidden="false" customHeight="false" outlineLevel="0" collapsed="false">
      <c r="A77" s="11" t="s">
        <v>334</v>
      </c>
      <c r="B77" s="11" t="s">
        <v>322</v>
      </c>
      <c r="C77" s="11" t="s">
        <v>218</v>
      </c>
      <c r="D77" s="11" t="s">
        <v>323</v>
      </c>
      <c r="E77" s="11"/>
    </row>
    <row r="78" customFormat="false" ht="15" hidden="false" customHeight="false" outlineLevel="0" collapsed="false">
      <c r="A78" s="11" t="s">
        <v>335</v>
      </c>
      <c r="B78" s="11" t="s">
        <v>322</v>
      </c>
      <c r="C78" s="11" t="s">
        <v>218</v>
      </c>
      <c r="D78" s="11" t="s">
        <v>323</v>
      </c>
      <c r="E78" s="11"/>
    </row>
    <row r="79" customFormat="false" ht="15" hidden="false" customHeight="false" outlineLevel="0" collapsed="false">
      <c r="A79" s="11" t="s">
        <v>336</v>
      </c>
      <c r="B79" s="11" t="s">
        <v>337</v>
      </c>
      <c r="C79" s="11" t="s">
        <v>218</v>
      </c>
      <c r="D79" s="11" t="s">
        <v>338</v>
      </c>
      <c r="E79" s="11" t="s">
        <v>339</v>
      </c>
    </row>
    <row r="80" customFormat="false" ht="15" hidden="false" customHeight="false" outlineLevel="0" collapsed="false">
      <c r="A80" s="11" t="s">
        <v>340</v>
      </c>
      <c r="B80" s="11" t="s">
        <v>337</v>
      </c>
      <c r="C80" s="11" t="s">
        <v>218</v>
      </c>
      <c r="D80" s="11" t="s">
        <v>338</v>
      </c>
      <c r="E80" s="11" t="s">
        <v>341</v>
      </c>
    </row>
    <row r="81" customFormat="false" ht="15" hidden="false" customHeight="false" outlineLevel="0" collapsed="false">
      <c r="A81" s="11" t="s">
        <v>342</v>
      </c>
      <c r="B81" s="11" t="s">
        <v>343</v>
      </c>
      <c r="C81" s="11" t="s">
        <v>218</v>
      </c>
      <c r="D81" s="11" t="s">
        <v>344</v>
      </c>
      <c r="E81" s="11" t="s">
        <v>345</v>
      </c>
    </row>
    <row r="82" customFormat="false" ht="15" hidden="false" customHeight="false" outlineLevel="0" collapsed="false">
      <c r="A82" s="11" t="s">
        <v>346</v>
      </c>
      <c r="B82" s="11" t="s">
        <v>347</v>
      </c>
      <c r="C82" s="11" t="s">
        <v>220</v>
      </c>
      <c r="D82" s="11" t="s">
        <v>348</v>
      </c>
      <c r="E82" s="11"/>
    </row>
    <row r="83" customFormat="false" ht="15" hidden="false" customHeight="false" outlineLevel="0" collapsed="false">
      <c r="A83" s="11" t="s">
        <v>349</v>
      </c>
      <c r="B83" s="11" t="s">
        <v>347</v>
      </c>
      <c r="C83" s="11" t="s">
        <v>220</v>
      </c>
      <c r="D83" s="11" t="s">
        <v>348</v>
      </c>
      <c r="E83" s="11"/>
    </row>
    <row r="84" customFormat="false" ht="15" hidden="false" customHeight="false" outlineLevel="0" collapsed="false">
      <c r="A84" s="11" t="s">
        <v>350</v>
      </c>
      <c r="B84" s="11" t="s">
        <v>351</v>
      </c>
      <c r="C84" s="11" t="s">
        <v>222</v>
      </c>
      <c r="D84" s="11" t="s">
        <v>352</v>
      </c>
      <c r="E84" s="11" t="s">
        <v>353</v>
      </c>
    </row>
    <row r="85" customFormat="false" ht="15" hidden="false" customHeight="false" outlineLevel="0" collapsed="false">
      <c r="A85" s="11" t="s">
        <v>354</v>
      </c>
      <c r="B85" s="11" t="s">
        <v>351</v>
      </c>
      <c r="C85" s="11" t="s">
        <v>222</v>
      </c>
      <c r="D85" s="11" t="s">
        <v>352</v>
      </c>
      <c r="E85" s="11" t="s">
        <v>355</v>
      </c>
    </row>
  </sheetData>
  <mergeCells count="1">
    <mergeCell ref="A2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2026-10-27T00:50:12Z</dcterms:created>
  <dc:creator>openpyxl</dc:creator>
  <dc:description/>
  <dc:language>en-CA</dc:language>
  <cp:lastModifiedBy/>
  <dcterms:modified xsi:type="dcterms:W3CDTF">2026-10-26T18:34:21Z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